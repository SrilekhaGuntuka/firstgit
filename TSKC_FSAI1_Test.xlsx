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ri lekha\Downloads\"/>
    </mc:Choice>
  </mc:AlternateContent>
  <xr:revisionPtr revIDLastSave="0" documentId="13_ncr:1_{0FAB3EAB-E972-4E03-A6BB-DD3025CF7942}" xr6:coauthVersionLast="47" xr6:coauthVersionMax="47" xr10:uidLastSave="{00000000-0000-0000-0000-000000000000}"/>
  <bookViews>
    <workbookView xWindow="-108" yWindow="-108" windowWidth="23256" windowHeight="12456" xr2:uid="{0D73AF5E-4E83-4895-B10C-C132C1DA5832}"/>
  </bookViews>
  <sheets>
    <sheet name="SQL" sheetId="1" r:id="rId1"/>
    <sheet name="Sheet8" sheetId="8" r:id="rId2"/>
    <sheet name="Excel Q1" sheetId="3" r:id="rId3"/>
    <sheet name="Excel Q2" sheetId="5" r:id="rId4"/>
    <sheet name="Excel Q3" sheetId="6" r:id="rId5"/>
    <sheet name="Excel Q4" sheetId="7" r:id="rId6"/>
    <sheet name="Theory" sheetId="4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4" i="5" l="1"/>
  <c r="M5" i="5"/>
  <c r="L5" i="5"/>
  <c r="K5" i="5"/>
  <c r="J5" i="5"/>
  <c r="I5" i="5"/>
  <c r="L4" i="5"/>
  <c r="M4" i="5"/>
  <c r="J4" i="5"/>
  <c r="I4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" i="5"/>
  <c r="B5" i="6"/>
  <c r="B6" i="6"/>
  <c r="B7" i="6"/>
  <c r="B8" i="6"/>
  <c r="B9" i="6"/>
  <c r="B4" i="6"/>
  <c r="C3" i="4"/>
  <c r="C6" i="4"/>
  <c r="C4" i="4"/>
  <c r="C2" i="4"/>
  <c r="D5" i="7" a="1"/>
  <c r="D5" i="7"/>
  <c r="D6" i="7" a="1"/>
  <c r="D6" i="7"/>
  <c r="D7" i="7" a="1"/>
  <c r="D7" i="7"/>
  <c r="D8" i="7" a="1"/>
  <c r="D8" i="7"/>
  <c r="D9" i="7" a="1"/>
  <c r="D9" i="7"/>
  <c r="D10" i="7" a="1"/>
  <c r="D10" i="7"/>
  <c r="D11" i="7" a="1"/>
  <c r="D11" i="7"/>
  <c r="D12" i="7" a="1"/>
  <c r="D12" i="7"/>
  <c r="D13" i="7" a="1"/>
  <c r="D13" i="7"/>
  <c r="D14" i="7" a="1"/>
  <c r="D14" i="7"/>
  <c r="D15" i="7" a="1"/>
  <c r="D15" i="7"/>
  <c r="D16" i="7" a="1"/>
  <c r="D16" i="7"/>
  <c r="D17" i="7" a="1"/>
  <c r="D17" i="7"/>
  <c r="D18" i="7" a="1"/>
  <c r="D18" i="7"/>
  <c r="D19" i="7" a="1"/>
  <c r="D19" i="7"/>
  <c r="D20" i="7" a="1"/>
  <c r="D20" i="7"/>
  <c r="D21" i="7" a="1"/>
  <c r="D21" i="7"/>
  <c r="D22" i="7" a="1"/>
  <c r="D22" i="7"/>
  <c r="D23" i="7" a="1"/>
  <c r="D23" i="7"/>
  <c r="D4" i="7" a="1"/>
  <c r="D4" i="7" s="1"/>
  <c r="G7" i="3"/>
  <c r="G6" i="3"/>
  <c r="G5" i="3"/>
  <c r="G4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<sst xmlns="http://schemas.openxmlformats.org/spreadsheetml/2006/main" count="732" uniqueCount="265">
  <si>
    <t>Employee</t>
  </si>
  <si>
    <t>Project</t>
  </si>
  <si>
    <t>EmployeeID</t>
  </si>
  <si>
    <t>Name</t>
  </si>
  <si>
    <t>Department</t>
  </si>
  <si>
    <t>Salary</t>
  </si>
  <si>
    <t>HireDate</t>
  </si>
  <si>
    <t>ManagerID</t>
  </si>
  <si>
    <t>BirthDate</t>
  </si>
  <si>
    <t>ProjectID</t>
  </si>
  <si>
    <t>ProjectName</t>
  </si>
  <si>
    <t>StartDate</t>
  </si>
  <si>
    <t>EndDate</t>
  </si>
  <si>
    <t>Rahul Sharma</t>
  </si>
  <si>
    <t>IT</t>
  </si>
  <si>
    <t>CRM Upgrade</t>
  </si>
  <si>
    <t>Priya Reddy</t>
  </si>
  <si>
    <t>HR</t>
  </si>
  <si>
    <t>ERP Migration</t>
  </si>
  <si>
    <t>Arjun Kumar</t>
  </si>
  <si>
    <t>Sales</t>
  </si>
  <si>
    <t>AI Dashboard</t>
  </si>
  <si>
    <t>Sneha Patel</t>
  </si>
  <si>
    <t>Finance</t>
  </si>
  <si>
    <t>HR Portal</t>
  </si>
  <si>
    <t>Vikram Singh</t>
  </si>
  <si>
    <t>Payroll System</t>
  </si>
  <si>
    <t>Kavya Rao</t>
  </si>
  <si>
    <t>Sales Tracker</t>
  </si>
  <si>
    <t>Rohit Mehta</t>
  </si>
  <si>
    <t>1.Write a query to get the first 3 letters of each employee's name.</t>
  </si>
  <si>
    <t>2.Write a query to find projects where the start date is before the employee's hire date.</t>
  </si>
  <si>
    <t>3.Write a query to find employees who are not assigned to any project.</t>
  </si>
  <si>
    <t>4.Write a query to calculate the rank of employees based on salary in each department.</t>
  </si>
  <si>
    <t>5.Find employees whose salaries are higher than their manager’s.</t>
  </si>
  <si>
    <t>6.Find employees who were hired in the same year as their manager.</t>
  </si>
  <si>
    <t>7.Find the difference in days between hire date and first project start date for each employee.</t>
  </si>
  <si>
    <t>9.Find employees who have been assigned to more than 2 projects.</t>
  </si>
  <si>
    <t>8.Find the employee with the Tenth -highest salary.</t>
  </si>
  <si>
    <t>10.Find the latest project each employee worked on.</t>
  </si>
  <si>
    <t>Instructions: Please write SQL queries for the following 10 questions in the space provided.</t>
  </si>
  <si>
    <t>Write answers to the following questions and provide an example for each.</t>
  </si>
  <si>
    <t>1. What is the purpose of the INDEX function in Excel?</t>
  </si>
  <si>
    <t>2. Explain the difference between COUNT and COUNTA functions in Excel.</t>
  </si>
  <si>
    <t>3. What function would you use to retrieve the first character from a text string in Excel?</t>
  </si>
  <si>
    <t>4. What is the shortcut key to open the "Find and Replace" dialog box in Excel? </t>
  </si>
  <si>
    <t>5. What is the purpose of the CONCATENATE function in Excel?</t>
  </si>
  <si>
    <t>6. What is the syntax for creating a new table in SQL?</t>
  </si>
  <si>
    <t>7. Explain the difference between VARCHAR and CHAR data types in SQL.</t>
  </si>
  <si>
    <t>8. How can you retrieve the top 5 highest salaries from an Employees table?</t>
  </si>
  <si>
    <t>9. What is the difference between UNION and UNION ALL in SQL?</t>
  </si>
  <si>
    <t>10. How do you update an existing record in SQL?</t>
  </si>
  <si>
    <t>11. Write an SQL query to fetch employees whose name starts with 'A'.</t>
  </si>
  <si>
    <t>12. Explain the difference between INNER JOIN and LEFT JOIN.</t>
  </si>
  <si>
    <t>13. What is a foreign key in SQL?</t>
  </si>
  <si>
    <t xml:space="preserve">Date </t>
  </si>
  <si>
    <t>Color</t>
  </si>
  <si>
    <t>State</t>
  </si>
  <si>
    <t>Qty</t>
  </si>
  <si>
    <t>Condition</t>
  </si>
  <si>
    <t>Result</t>
  </si>
  <si>
    <t>Red</t>
  </si>
  <si>
    <t>UK</t>
  </si>
  <si>
    <t>Blue</t>
  </si>
  <si>
    <t>DE</t>
  </si>
  <si>
    <t>Red &amp; UK</t>
  </si>
  <si>
    <t>NL</t>
  </si>
  <si>
    <t>Red &amp; &gt;250</t>
  </si>
  <si>
    <t>Red and UK and &gt;20</t>
  </si>
  <si>
    <t>AT</t>
  </si>
  <si>
    <t>1.Question: Formulate blue cells in column G to count the number of rows covering the conditions mentioned in F column</t>
  </si>
  <si>
    <t>Retainer No</t>
  </si>
  <si>
    <t>Invoice Date</t>
  </si>
  <si>
    <t>Billed Amount</t>
  </si>
  <si>
    <t>Working Cell</t>
  </si>
  <si>
    <t>Month</t>
  </si>
  <si>
    <t>Question:</t>
  </si>
  <si>
    <t>Formulate blue cells to bring Laptop &amp; Television Total Billed Amount</t>
  </si>
  <si>
    <t>Laptop</t>
  </si>
  <si>
    <t>30-Jun-2019</t>
  </si>
  <si>
    <t>25-Jul-2019</t>
  </si>
  <si>
    <t>Apr</t>
  </si>
  <si>
    <t>May</t>
  </si>
  <si>
    <t>Jun</t>
  </si>
  <si>
    <t>Jul</t>
  </si>
  <si>
    <t>Aug</t>
  </si>
  <si>
    <t>16-Apr-2019</t>
  </si>
  <si>
    <t>Television</t>
  </si>
  <si>
    <t>10-May-2019</t>
  </si>
  <si>
    <t>30-Apr-2019</t>
  </si>
  <si>
    <t>16-May-2019</t>
  </si>
  <si>
    <t>31-May-2019</t>
  </si>
  <si>
    <t>16-Jul-2019</t>
  </si>
  <si>
    <t>23-Jul-2019</t>
  </si>
  <si>
    <t>25-Apr-2019</t>
  </si>
  <si>
    <t>15-Apr-2019</t>
  </si>
  <si>
    <t>12-Jun-2019</t>
  </si>
  <si>
    <t>17-Jun-2019</t>
  </si>
  <si>
    <t>29-May-2019</t>
  </si>
  <si>
    <t>28-Jun-2019</t>
  </si>
  <si>
    <t>10-Jul-2019</t>
  </si>
  <si>
    <t>06-Aug-2019</t>
  </si>
  <si>
    <t>29-Jul-2019</t>
  </si>
  <si>
    <t>03-Jul-2019</t>
  </si>
  <si>
    <t>06-May-2019</t>
  </si>
  <si>
    <t>20-May-2019</t>
  </si>
  <si>
    <t>24-Jun-2019</t>
  </si>
  <si>
    <t>22-Aug-2019</t>
  </si>
  <si>
    <t>16-Aug-2019</t>
  </si>
  <si>
    <t>29-Aug-2019</t>
  </si>
  <si>
    <t>26-Aug-2019</t>
  </si>
  <si>
    <t>31-Aug-2019</t>
  </si>
  <si>
    <t>09-Aug-2019</t>
  </si>
  <si>
    <t>30-Sep-2019</t>
  </si>
  <si>
    <t>10-Sep-2019</t>
  </si>
  <si>
    <t>07-Sep-2019</t>
  </si>
  <si>
    <t>13-Sep-2019</t>
  </si>
  <si>
    <t>24-Sep-2019</t>
  </si>
  <si>
    <t>06-Sep-2019</t>
  </si>
  <si>
    <t>19-Sep-2019</t>
  </si>
  <si>
    <t>09-Sep-2019</t>
  </si>
  <si>
    <t>11-Sep-2019</t>
  </si>
  <si>
    <t>17-Sep-2019</t>
  </si>
  <si>
    <t>16-Oct-2019</t>
  </si>
  <si>
    <t>18-Oct-2019</t>
  </si>
  <si>
    <t>23-Oct-2019</t>
  </si>
  <si>
    <t>30-Oct-2019</t>
  </si>
  <si>
    <t>31-Oct-2019</t>
  </si>
  <si>
    <t>10-Oct-2019</t>
  </si>
  <si>
    <t>21-Nov-2019</t>
  </si>
  <si>
    <t>25-Nov-2019</t>
  </si>
  <si>
    <t>14-Nov-2019</t>
  </si>
  <si>
    <t>30-Nov-2019</t>
  </si>
  <si>
    <t>11-Nov-2019</t>
  </si>
  <si>
    <t>08-Nov-2019</t>
  </si>
  <si>
    <t>20-Nov-2019</t>
  </si>
  <si>
    <t>22-Nov-2019</t>
  </si>
  <si>
    <t>09-Nov-2019</t>
  </si>
  <si>
    <t>06-Nov-2019</t>
  </si>
  <si>
    <t>13-Dec-2019</t>
  </si>
  <si>
    <t>10-Dec-2019</t>
  </si>
  <si>
    <t>07-Dec-2019</t>
  </si>
  <si>
    <t>16-Dec-2019</t>
  </si>
  <si>
    <t>31-Dec-2019</t>
  </si>
  <si>
    <t>09-Dec-2019</t>
  </si>
  <si>
    <t>26-Dec-2019</t>
  </si>
  <si>
    <t>30-Dec-2019</t>
  </si>
  <si>
    <t>17-Dec-2019</t>
  </si>
  <si>
    <t>22-Jan-2020</t>
  </si>
  <si>
    <t>06-Jan-2020</t>
  </si>
  <si>
    <t>08-Jan-2020</t>
  </si>
  <si>
    <t>10-Jan-2020</t>
  </si>
  <si>
    <t>27-Jan-2020</t>
  </si>
  <si>
    <t>13-Jan-2020</t>
  </si>
  <si>
    <t>11-Jan-2020</t>
  </si>
  <si>
    <t>14-Jan-2020</t>
  </si>
  <si>
    <t>14-Feb-2020</t>
  </si>
  <si>
    <t>07-Feb-2020</t>
  </si>
  <si>
    <t>17-Feb-2020</t>
  </si>
  <si>
    <t>12-Feb-2020</t>
  </si>
  <si>
    <t>15-Feb-2020</t>
  </si>
  <si>
    <t>29-Feb-2020</t>
  </si>
  <si>
    <t>05-Feb-2020</t>
  </si>
  <si>
    <t>10-Feb-2020</t>
  </si>
  <si>
    <t>27-Feb-2020</t>
  </si>
  <si>
    <t>31-Mar-2020</t>
  </si>
  <si>
    <t>04-Mar-2020</t>
  </si>
  <si>
    <t>23-Mar-2020</t>
  </si>
  <si>
    <t>30-Mar-2020</t>
  </si>
  <si>
    <t>11-Mar-2020</t>
  </si>
  <si>
    <t>Question: Please formulate Employee ID in B column using table mentioned in G:H</t>
  </si>
  <si>
    <t>Employee ID</t>
  </si>
  <si>
    <t>Pan</t>
  </si>
  <si>
    <t>110608</t>
  </si>
  <si>
    <t>Doe</t>
  </si>
  <si>
    <t>Favre</t>
  </si>
  <si>
    <t xml:space="preserve">253072   </t>
  </si>
  <si>
    <t>Cline</t>
  </si>
  <si>
    <t>Elway</t>
  </si>
  <si>
    <t>352711</t>
  </si>
  <si>
    <t>Smith</t>
  </si>
  <si>
    <t>Manning</t>
  </si>
  <si>
    <t xml:space="preserve">391006  </t>
  </si>
  <si>
    <t>Vick</t>
  </si>
  <si>
    <t>392128</t>
  </si>
  <si>
    <t>Woods</t>
  </si>
  <si>
    <t>549457</t>
  </si>
  <si>
    <t>580622</t>
  </si>
  <si>
    <t>602693</t>
  </si>
  <si>
    <t xml:space="preserve">611810   </t>
  </si>
  <si>
    <t>612235</t>
  </si>
  <si>
    <t>Jordan</t>
  </si>
  <si>
    <t>795574</t>
  </si>
  <si>
    <t>Stark</t>
  </si>
  <si>
    <t xml:space="preserve">830385    </t>
  </si>
  <si>
    <t>Williams</t>
  </si>
  <si>
    <t>990678</t>
  </si>
  <si>
    <t>Pitt</t>
  </si>
  <si>
    <t xml:space="preserve"> </t>
  </si>
  <si>
    <t xml:space="preserve">Questions: Return relevant comments based on the score. The comment range given: </t>
  </si>
  <si>
    <t>Student</t>
  </si>
  <si>
    <t>Score</t>
  </si>
  <si>
    <t>Comment</t>
  </si>
  <si>
    <t>Ross</t>
  </si>
  <si>
    <t>Range</t>
  </si>
  <si>
    <t>Jim</t>
  </si>
  <si>
    <t>More Than 80</t>
  </si>
  <si>
    <t>Outstanding</t>
  </si>
  <si>
    <t>Anderson</t>
  </si>
  <si>
    <t>40 - 79</t>
  </si>
  <si>
    <t>Good</t>
  </si>
  <si>
    <t>Heather</t>
  </si>
  <si>
    <t>Below 40</t>
  </si>
  <si>
    <t>Bad</t>
  </si>
  <si>
    <t>Richard</t>
  </si>
  <si>
    <t>Rachel</t>
  </si>
  <si>
    <t>Jenna</t>
  </si>
  <si>
    <t>Monica</t>
  </si>
  <si>
    <t>Chandler</t>
  </si>
  <si>
    <t>Phoebe</t>
  </si>
  <si>
    <t>Gordon</t>
  </si>
  <si>
    <t>Joey</t>
  </si>
  <si>
    <t>Johnson</t>
  </si>
  <si>
    <t>Kristen</t>
  </si>
  <si>
    <t>Patrick</t>
  </si>
  <si>
    <t>David</t>
  </si>
  <si>
    <t>Adam</t>
  </si>
  <si>
    <t>Bell</t>
  </si>
  <si>
    <t>Nathalia</t>
  </si>
  <si>
    <t>Answers</t>
  </si>
  <si>
    <t>Example</t>
  </si>
  <si>
    <t>Full Name</t>
  </si>
  <si>
    <t>Date</t>
  </si>
  <si>
    <t>Instructions</t>
  </si>
  <si>
    <t>Please read the question carefully before attempting.</t>
  </si>
  <si>
    <t>**Do not paste special the formula or else the question will be not be considered for evaluation.</t>
  </si>
  <si>
    <t>Test Duration - 60 Minutes</t>
  </si>
  <si>
    <t>Do not use Any AI tool or google</t>
  </si>
  <si>
    <t>No ChatGPT, Gemini, Copilot, me, or Google search.</t>
  </si>
  <si>
    <t>select EmployeeID, Name from Employee where Name='_ _ _%'</t>
  </si>
  <si>
    <t xml:space="preserve">select P.projectName,P.EmoloyeeID,P.StartDate,E.HireDate                                                                                                           from Employee E join Project P                                                                                                                                                       on E.EmployeeID=P.EmployeeID                                                                                                                                                                 where P.StartDate&lt;E.HireDate                                                  </t>
  </si>
  <si>
    <t xml:space="preserve">select * from Employee                                                                                                                                                                 where EmployeeID not in (select EmployeeID from project)                   </t>
  </si>
  <si>
    <t xml:space="preserve">select *,dense_rank() over (partition by Department order by Salary desc) as sal_rank                                                            from Employee                                                                                                                             </t>
  </si>
  <si>
    <t>select *,dense_rank() over(order by salary desc) as sal_rank                                                                                                        from employee                                                                                                                                                                                     where  sal_rank=10</t>
  </si>
  <si>
    <t>select E.EmployeeID,E.Name,count(p.EmployeeID) as No_Projects                                                                                                                             from Employee as E join Project as P                                                                                                                                                                          on E.EmployeeID=P.EmployeeID                                                                                                                                              Group by E.Name                                                                                                                                                                             Having Count(P.EmployeeID)&gt;2</t>
  </si>
  <si>
    <t>select e.EmployeeID. e.Name,p.ProjectID,p.projectName,p.StrartDate                                                                                             from Employee as e join project as p                                                                                                                                                on e.EmployeeID=p.EmployeeID                                                                                                                    where p.StartDate=(select max(startdate) from project                                                                                                                                                  where EmployeeID=e.EmployeeID)</t>
  </si>
  <si>
    <t>GUNTUKA SRILEKHA</t>
  </si>
  <si>
    <t>INDEX function is used to return the value  of a particular cell with respect to row and column within a range.</t>
  </si>
  <si>
    <t>COUNT is a function used to count only numeric cells.COUNTA is used count all non-empty cells</t>
  </si>
  <si>
    <t>LEFT function is used to retrieve the first character from cell</t>
  </si>
  <si>
    <t>ctrl+f  and ctrl+h</t>
  </si>
  <si>
    <t xml:space="preserve">It combines two or more cells text strings in to one </t>
  </si>
  <si>
    <t>create table tablename (col1,datatype,col2,datatype,…);</t>
  </si>
  <si>
    <t>create table emp(empid int,name varchar(10),salary int);</t>
  </si>
  <si>
    <t>using top</t>
  </si>
  <si>
    <t>VARCHAR  is a variable length character data .CHAR  is a fixed length char datatype.</t>
  </si>
  <si>
    <t>select top 5*</t>
  </si>
  <si>
    <t>UNION combines only the distinct rows  by  removing duplicate values.UNION ALL combining the rows including duplicate values.</t>
  </si>
  <si>
    <t>using update command</t>
  </si>
  <si>
    <t>update emp set salary=5000 where empid=101;</t>
  </si>
  <si>
    <t>INNERJOIN  returns only matching rows from left and right table.LEFT JOIN returns all rows from left table and matching rows from right table.if there is no match ,return null.</t>
  </si>
  <si>
    <t>select name from emp where name likes 'A%';</t>
  </si>
  <si>
    <t>Anudeep</t>
  </si>
  <si>
    <t>foreign key is used to establish link between two tables .One table to the primary key of another table.</t>
  </si>
  <si>
    <t>select e.EmployeeID,e.Name,e.Salary,m.Name as managername,m.salary as managersalary                                                                      from Employee as e join Employee as  m                                                                                                                                                 on e.EmployeeID=m.EmployeeID                                                                                                                                                                                       where e.Salary&gt;m.Salary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</si>
</sst>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_ ;_ * \-#,##0_ ;_ * &quot;-&quot;??_ ;_ @_ "/>
    <numFmt numFmtId="165" formatCode="_ * #,##0.0_ ;_ * \-#,##0.0_ ;_ * &quot;-&quot;??_ ;_ @_ "/>
  </numFmts>
  <fonts count="16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b/>
      <sz val="14"/>
      <color theme="3" tint="0.249977111117893"/>
      <name val="Aptos Narrow"/>
      <family val="2"/>
      <scheme val="minor"/>
    </font>
    <font>
      <b/>
      <sz val="14"/>
      <color theme="1"/>
      <name val="Arial"/>
      <family val="2"/>
    </font>
    <font>
      <sz val="9"/>
      <color rgb="FF000000"/>
      <name val="Calibri"/>
      <family val="2"/>
    </font>
    <font>
      <sz val="8"/>
      <color rgb="FF000000"/>
      <name val="Arial"/>
      <family val="2"/>
    </font>
    <font>
      <b/>
      <sz val="11"/>
      <name val="Calibri"/>
      <family val="2"/>
    </font>
    <font>
      <sz val="10"/>
      <name val="Calibri"/>
      <family val="2"/>
    </font>
    <font>
      <sz val="11"/>
      <name val="Calibri"/>
      <family val="2"/>
    </font>
    <font>
      <b/>
      <sz val="10"/>
      <name val="Calibri"/>
      <family val="2"/>
    </font>
    <font>
      <sz val="10"/>
      <color rgb="FF000000"/>
      <name val="Calibri"/>
      <family val="2"/>
    </font>
    <font>
      <sz val="12"/>
      <color theme="1"/>
      <name val="Lato"/>
      <family val="2"/>
    </font>
    <font>
      <sz val="14"/>
      <color theme="1"/>
      <name val="Lato"/>
      <family val="2"/>
    </font>
    <font>
      <sz val="11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D9E2F3"/>
        <bgColor rgb="FFD9E2F3"/>
      </patternFill>
    </fill>
    <fill>
      <patternFill patternType="solid">
        <fgColor theme="2"/>
        <bgColor rgb="FF333F4F"/>
      </patternFill>
    </fill>
    <fill>
      <patternFill patternType="solid">
        <fgColor theme="2"/>
        <bgColor rgb="FF002060"/>
      </patternFill>
    </fill>
    <fill>
      <patternFill patternType="solid">
        <fgColor rgb="FF1F3864"/>
        <bgColor rgb="FF1F3864"/>
      </patternFill>
    </fill>
    <fill>
      <patternFill patternType="solid">
        <fgColor rgb="FFECFFCC"/>
        <bgColor rgb="FFECFFCC"/>
      </patternFill>
    </fill>
    <fill>
      <patternFill patternType="solid">
        <fgColor rgb="FFFFDDF2"/>
        <bgColor rgb="FFFFDDF2"/>
      </patternFill>
    </fill>
  </fills>
  <borders count="28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  <border>
      <left/>
      <right style="medium">
        <color rgb="FFCCCCCC"/>
      </right>
      <top/>
      <bottom/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/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5" fillId="0" borderId="0" applyFont="0" applyFill="0" applyBorder="0" applyAlignment="0" applyProtection="0"/>
  </cellStyleXfs>
  <cellXfs count="98">
    <xf numFmtId="0" fontId="0" fillId="0" borderId="0" xfId="0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14" fontId="2" fillId="0" borderId="1" xfId="0" applyNumberFormat="1" applyFont="1" applyBorder="1" applyAlignment="1">
      <alignment horizontal="right" wrapText="1"/>
    </xf>
    <xf numFmtId="0" fontId="3" fillId="0" borderId="1" xfId="0" applyFont="1" applyBorder="1" applyAlignment="1">
      <alignment vertical="center"/>
    </xf>
    <xf numFmtId="0" fontId="1" fillId="3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3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14" fontId="2" fillId="0" borderId="1" xfId="0" applyNumberFormat="1" applyFont="1" applyBorder="1" applyAlignment="1">
      <alignment horizontal="center" wrapText="1"/>
    </xf>
    <xf numFmtId="0" fontId="4" fillId="0" borderId="0" xfId="0" applyFont="1"/>
    <xf numFmtId="0" fontId="5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 indent="1"/>
    </xf>
    <xf numFmtId="0" fontId="7" fillId="0" borderId="0" xfId="0" applyFont="1"/>
    <xf numFmtId="0" fontId="8" fillId="0" borderId="10" xfId="0" applyFont="1" applyBorder="1" applyAlignment="1">
      <alignment horizontal="center"/>
    </xf>
    <xf numFmtId="0" fontId="8" fillId="0" borderId="10" xfId="0" applyFont="1" applyBorder="1"/>
    <xf numFmtId="16" fontId="9" fillId="0" borderId="10" xfId="0" applyNumberFormat="1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10" fillId="0" borderId="10" xfId="0" applyFont="1" applyBorder="1"/>
    <xf numFmtId="0" fontId="10" fillId="4" borderId="10" xfId="0" applyFont="1" applyFill="1" applyBorder="1"/>
    <xf numFmtId="0" fontId="8" fillId="5" borderId="10" xfId="0" applyFont="1" applyFill="1" applyBorder="1" applyAlignment="1">
      <alignment horizontal="center"/>
    </xf>
    <xf numFmtId="164" fontId="11" fillId="5" borderId="10" xfId="0" applyNumberFormat="1" applyFont="1" applyFill="1" applyBorder="1" applyAlignment="1">
      <alignment horizontal="center"/>
    </xf>
    <xf numFmtId="0" fontId="11" fillId="6" borderId="10" xfId="0" applyFont="1" applyFill="1" applyBorder="1" applyAlignment="1">
      <alignment horizontal="center" vertical="center"/>
    </xf>
    <xf numFmtId="165" fontId="11" fillId="5" borderId="10" xfId="0" applyNumberFormat="1" applyFont="1" applyFill="1" applyBorder="1" applyAlignment="1">
      <alignment horizontal="center"/>
    </xf>
    <xf numFmtId="15" fontId="10" fillId="0" borderId="10" xfId="0" applyNumberFormat="1" applyFont="1" applyBorder="1"/>
    <xf numFmtId="164" fontId="10" fillId="0" borderId="10" xfId="0" applyNumberFormat="1" applyFont="1" applyBorder="1"/>
    <xf numFmtId="0" fontId="10" fillId="0" borderId="11" xfId="0" applyFont="1" applyBorder="1"/>
    <xf numFmtId="0" fontId="8" fillId="7" borderId="12" xfId="0" applyFont="1" applyFill="1" applyBorder="1" applyAlignment="1">
      <alignment horizontal="center"/>
    </xf>
    <xf numFmtId="0" fontId="10" fillId="0" borderId="13" xfId="0" applyFont="1" applyBorder="1"/>
    <xf numFmtId="0" fontId="10" fillId="0" borderId="15" xfId="0" applyFont="1" applyBorder="1"/>
    <xf numFmtId="0" fontId="10" fillId="0" borderId="0" xfId="0" applyFont="1" applyAlignment="1">
      <alignment horizontal="left"/>
    </xf>
    <xf numFmtId="0" fontId="10" fillId="0" borderId="0" xfId="0" applyFont="1" applyAlignment="1">
      <alignment horizontal="center"/>
    </xf>
    <xf numFmtId="0" fontId="11" fillId="0" borderId="0" xfId="0" applyFont="1"/>
    <xf numFmtId="0" fontId="11" fillId="0" borderId="0" xfId="0" applyFont="1" applyAlignment="1">
      <alignment horizontal="center"/>
    </xf>
    <xf numFmtId="0" fontId="9" fillId="0" borderId="0" xfId="0" applyFont="1"/>
    <xf numFmtId="0" fontId="9" fillId="4" borderId="0" xfId="0" applyFont="1" applyFill="1"/>
    <xf numFmtId="49" fontId="9" fillId="0" borderId="0" xfId="0" applyNumberFormat="1" applyFont="1" applyAlignment="1">
      <alignment horizontal="center"/>
    </xf>
    <xf numFmtId="0" fontId="12" fillId="0" borderId="0" xfId="0" applyFont="1"/>
    <xf numFmtId="0" fontId="11" fillId="8" borderId="10" xfId="0" applyFont="1" applyFill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4" borderId="10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  <xf numFmtId="0" fontId="13" fillId="0" borderId="16" xfId="0" applyFont="1" applyBorder="1"/>
    <xf numFmtId="0" fontId="13" fillId="0" borderId="0" xfId="0" applyFont="1"/>
    <xf numFmtId="0" fontId="14" fillId="0" borderId="17" xfId="0" applyFont="1" applyBorder="1"/>
    <xf numFmtId="0" fontId="14" fillId="0" borderId="16" xfId="0" applyFont="1" applyBorder="1"/>
    <xf numFmtId="0" fontId="3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18" xfId="0" applyFont="1" applyBorder="1" applyAlignment="1">
      <alignment vertical="center"/>
    </xf>
    <xf numFmtId="0" fontId="2" fillId="0" borderId="18" xfId="0" applyFont="1" applyBorder="1" applyAlignment="1">
      <alignment wrapText="1"/>
    </xf>
    <xf numFmtId="0" fontId="3" fillId="0" borderId="19" xfId="0" applyFont="1" applyBorder="1" applyAlignment="1">
      <alignment vertical="center"/>
    </xf>
    <xf numFmtId="0" fontId="2" fillId="0" borderId="19" xfId="0" applyFont="1" applyBorder="1" applyAlignment="1">
      <alignment wrapText="1"/>
    </xf>
    <xf numFmtId="0" fontId="3" fillId="0" borderId="20" xfId="0" applyFont="1" applyBorder="1" applyAlignment="1">
      <alignment horizontal="left" vertical="center" wrapText="1"/>
    </xf>
    <xf numFmtId="0" fontId="3" fillId="0" borderId="21" xfId="0" applyFont="1" applyBorder="1" applyAlignment="1">
      <alignment horizontal="left" vertical="center" wrapText="1"/>
    </xf>
    <xf numFmtId="0" fontId="3" fillId="0" borderId="22" xfId="0" applyFont="1" applyBorder="1" applyAlignment="1">
      <alignment horizontal="left" vertical="center" wrapText="1"/>
    </xf>
    <xf numFmtId="0" fontId="3" fillId="0" borderId="23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3" fillId="0" borderId="24" xfId="0" applyFont="1" applyBorder="1" applyAlignment="1">
      <alignment horizontal="left" vertical="center" wrapText="1"/>
    </xf>
    <xf numFmtId="0" fontId="3" fillId="0" borderId="25" xfId="0" applyFont="1" applyBorder="1" applyAlignment="1">
      <alignment horizontal="left" vertical="center" wrapText="1"/>
    </xf>
    <xf numFmtId="0" fontId="3" fillId="0" borderId="26" xfId="0" applyFont="1" applyBorder="1" applyAlignment="1">
      <alignment horizontal="left" vertical="center" wrapText="1"/>
    </xf>
    <xf numFmtId="0" fontId="3" fillId="0" borderId="27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0" xfId="0" applyFont="1"/>
    <xf numFmtId="14" fontId="13" fillId="0" borderId="16" xfId="0" applyNumberFormat="1" applyFont="1" applyBorder="1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164" fontId="10" fillId="4" borderId="14" xfId="1" applyNumberFormat="1" applyFont="1" applyFill="1" applyBorder="1"/>
    <xf numFmtId="0" fontId="3" fillId="0" borderId="2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</cellXfs>
  <cellStyles count="2">
    <cellStyle name="Comma" xfId="1" builtinId="3"/>
    <cellStyle name="Normal" xfId="0" builtinId="0"/>
  </cellStyles>
  <dxfs count="1">
    <dxf>
      <font>
        <b/>
        <color auto="1"/>
      </font>
      <fill>
        <patternFill patternType="solid">
          <fgColor rgb="FFADB9CA"/>
          <bgColor rgb="FFADB9C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9BFFD-63F2-4220-8E2E-12A0ED6EB939}">
  <dimension ref="A1:N71"/>
  <sheetViews>
    <sheetView tabSelected="1" topLeftCell="A33" workbookViewId="0">
      <selection activeCell="A42" sqref="A42:F45"/>
    </sheetView>
  </sheetViews>
  <sheetFormatPr defaultColWidth="14.5546875" defaultRowHeight="20.399999999999999" customHeight="1" x14ac:dyDescent="0.3"/>
  <sheetData>
    <row r="1" spans="1:14" ht="20.399999999999999" customHeight="1" x14ac:dyDescent="0.35">
      <c r="A1" s="14" t="s">
        <v>40</v>
      </c>
    </row>
    <row r="2" spans="1:14" ht="20.399999999999999" customHeight="1" thickBot="1" x14ac:dyDescent="0.35"/>
    <row r="3" spans="1:14" ht="20.399999999999999" customHeight="1" thickBot="1" x14ac:dyDescent="0.35">
      <c r="A3" s="15" t="s">
        <v>0</v>
      </c>
      <c r="B3" s="10"/>
      <c r="C3" s="10"/>
      <c r="D3" s="10"/>
      <c r="E3" s="10"/>
      <c r="F3" s="10"/>
      <c r="G3" s="10"/>
      <c r="H3" s="1"/>
      <c r="I3" s="15" t="s">
        <v>1</v>
      </c>
      <c r="J3" s="6"/>
      <c r="K3" s="6"/>
      <c r="L3" s="6"/>
      <c r="M3" s="6"/>
      <c r="N3" s="12"/>
    </row>
    <row r="4" spans="1:14" ht="20.399999999999999" customHeight="1" thickBot="1" x14ac:dyDescent="0.35">
      <c r="A4" s="9" t="s">
        <v>2</v>
      </c>
      <c r="B4" s="9" t="s">
        <v>3</v>
      </c>
      <c r="C4" s="9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1"/>
      <c r="I4" s="5" t="s">
        <v>9</v>
      </c>
      <c r="J4" s="5" t="s">
        <v>10</v>
      </c>
      <c r="K4" s="5" t="s">
        <v>2</v>
      </c>
      <c r="L4" s="5" t="s">
        <v>11</v>
      </c>
      <c r="M4" s="5" t="s">
        <v>12</v>
      </c>
      <c r="N4" s="12"/>
    </row>
    <row r="5" spans="1:14" ht="20.399999999999999" customHeight="1" thickBot="1" x14ac:dyDescent="0.35">
      <c r="A5" s="10">
        <v>101</v>
      </c>
      <c r="B5" s="10" t="s">
        <v>13</v>
      </c>
      <c r="C5" s="10" t="s">
        <v>14</v>
      </c>
      <c r="D5" s="10">
        <v>95000</v>
      </c>
      <c r="E5" s="11">
        <v>43171</v>
      </c>
      <c r="F5" s="10">
        <v>110</v>
      </c>
      <c r="G5" s="11">
        <v>34103</v>
      </c>
      <c r="H5" s="1"/>
      <c r="I5" s="6">
        <v>201</v>
      </c>
      <c r="J5" s="6" t="s">
        <v>15</v>
      </c>
      <c r="K5" s="6">
        <v>101</v>
      </c>
      <c r="L5" s="13">
        <v>43191</v>
      </c>
      <c r="M5" s="13">
        <v>43374</v>
      </c>
      <c r="N5" s="12"/>
    </row>
    <row r="6" spans="1:14" ht="20.399999999999999" customHeight="1" thickBot="1" x14ac:dyDescent="0.35">
      <c r="A6" s="10">
        <v>102</v>
      </c>
      <c r="B6" s="10" t="s">
        <v>16</v>
      </c>
      <c r="C6" s="10" t="s">
        <v>17</v>
      </c>
      <c r="D6" s="10">
        <v>65000</v>
      </c>
      <c r="E6" s="11">
        <v>43661</v>
      </c>
      <c r="F6" s="10">
        <v>111</v>
      </c>
      <c r="G6" s="11">
        <v>34567</v>
      </c>
      <c r="H6" s="1"/>
      <c r="I6" s="6">
        <v>202</v>
      </c>
      <c r="J6" s="6" t="s">
        <v>18</v>
      </c>
      <c r="K6" s="6">
        <v>101</v>
      </c>
      <c r="L6" s="13">
        <v>43497</v>
      </c>
      <c r="M6" s="13">
        <v>43692</v>
      </c>
      <c r="N6" s="12"/>
    </row>
    <row r="7" spans="1:14" ht="20.399999999999999" customHeight="1" thickBot="1" x14ac:dyDescent="0.35">
      <c r="A7" s="10">
        <v>103</v>
      </c>
      <c r="B7" s="10" t="s">
        <v>19</v>
      </c>
      <c r="C7" s="10" t="s">
        <v>20</v>
      </c>
      <c r="D7" s="10">
        <v>72000</v>
      </c>
      <c r="E7" s="11">
        <v>43881</v>
      </c>
      <c r="F7" s="10">
        <v>112</v>
      </c>
      <c r="G7" s="11">
        <v>35320</v>
      </c>
      <c r="H7" s="1"/>
      <c r="I7" s="6">
        <v>203</v>
      </c>
      <c r="J7" s="6" t="s">
        <v>21</v>
      </c>
      <c r="K7" s="6">
        <v>101</v>
      </c>
      <c r="L7" s="13">
        <v>44206</v>
      </c>
      <c r="M7" s="13">
        <v>44407</v>
      </c>
      <c r="N7" s="12"/>
    </row>
    <row r="8" spans="1:14" ht="20.399999999999999" customHeight="1" thickBot="1" x14ac:dyDescent="0.35">
      <c r="A8" s="10">
        <v>104</v>
      </c>
      <c r="B8" s="10" t="s">
        <v>22</v>
      </c>
      <c r="C8" s="10" t="s">
        <v>23</v>
      </c>
      <c r="D8" s="10">
        <v>88000</v>
      </c>
      <c r="E8" s="11">
        <v>43040</v>
      </c>
      <c r="F8" s="10">
        <v>113</v>
      </c>
      <c r="G8" s="11">
        <v>33712</v>
      </c>
      <c r="H8" s="1"/>
      <c r="I8" s="6">
        <v>204</v>
      </c>
      <c r="J8" s="6" t="s">
        <v>24</v>
      </c>
      <c r="K8" s="6">
        <v>102</v>
      </c>
      <c r="L8" s="13">
        <v>43678</v>
      </c>
      <c r="M8" s="13">
        <v>43850</v>
      </c>
      <c r="N8" s="12"/>
    </row>
    <row r="9" spans="1:14" ht="20.399999999999999" customHeight="1" thickBot="1" x14ac:dyDescent="0.35">
      <c r="A9" s="10">
        <v>105</v>
      </c>
      <c r="B9" s="10" t="s">
        <v>25</v>
      </c>
      <c r="C9" s="10" t="s">
        <v>14</v>
      </c>
      <c r="D9" s="10">
        <v>68000</v>
      </c>
      <c r="E9" s="11">
        <v>44326</v>
      </c>
      <c r="F9" s="10">
        <v>110</v>
      </c>
      <c r="G9" s="11">
        <v>35606</v>
      </c>
      <c r="H9" s="1"/>
      <c r="I9" s="6">
        <v>205</v>
      </c>
      <c r="J9" s="6" t="s">
        <v>26</v>
      </c>
      <c r="K9" s="6">
        <v>102</v>
      </c>
      <c r="L9" s="13">
        <v>43936</v>
      </c>
      <c r="M9" s="13">
        <v>44114</v>
      </c>
      <c r="N9" s="12"/>
    </row>
    <row r="10" spans="1:14" ht="20.399999999999999" customHeight="1" thickBot="1" x14ac:dyDescent="0.35">
      <c r="A10" s="10">
        <v>106</v>
      </c>
      <c r="B10" s="10" t="s">
        <v>27</v>
      </c>
      <c r="C10" s="10" t="s">
        <v>20</v>
      </c>
      <c r="D10" s="10">
        <v>75000</v>
      </c>
      <c r="E10" s="11">
        <v>43361</v>
      </c>
      <c r="F10" s="10">
        <v>112</v>
      </c>
      <c r="G10" s="11">
        <v>34788</v>
      </c>
      <c r="H10" s="1"/>
      <c r="I10" s="6">
        <v>206</v>
      </c>
      <c r="J10" s="6" t="s">
        <v>28</v>
      </c>
      <c r="K10" s="6">
        <v>103</v>
      </c>
      <c r="L10" s="13">
        <v>43891</v>
      </c>
      <c r="M10" s="13">
        <v>44165</v>
      </c>
      <c r="N10" s="12"/>
    </row>
    <row r="11" spans="1:14" ht="20.399999999999999" customHeight="1" thickBot="1" x14ac:dyDescent="0.35">
      <c r="A11" s="10">
        <v>107</v>
      </c>
      <c r="B11" s="10" t="s">
        <v>29</v>
      </c>
      <c r="C11" s="10" t="s">
        <v>17</v>
      </c>
      <c r="D11" s="10">
        <v>62000</v>
      </c>
      <c r="E11" s="11">
        <v>44569</v>
      </c>
      <c r="F11" s="10">
        <v>111</v>
      </c>
      <c r="G11" s="11">
        <v>36134</v>
      </c>
      <c r="H11" s="1"/>
      <c r="I11" s="2"/>
      <c r="J11" s="1"/>
      <c r="K11" s="2"/>
      <c r="L11" s="3"/>
      <c r="M11" s="3"/>
    </row>
    <row r="12" spans="1:14" ht="20.399999999999999" customHeight="1" thickBot="1" x14ac:dyDescent="0.35">
      <c r="A12" s="2"/>
      <c r="B12" s="1"/>
      <c r="C12" s="1"/>
      <c r="D12" s="2"/>
      <c r="E12" s="3"/>
      <c r="F12" s="2"/>
      <c r="G12" s="3"/>
      <c r="H12" s="1"/>
      <c r="I12" s="2"/>
      <c r="J12" s="1"/>
      <c r="K12" s="2"/>
      <c r="L12" s="3"/>
      <c r="M12" s="3"/>
    </row>
    <row r="13" spans="1:14" ht="20.399999999999999" customHeight="1" thickBot="1" x14ac:dyDescent="0.35">
      <c r="A13" s="2"/>
      <c r="B13" s="1"/>
      <c r="C13" s="1"/>
      <c r="D13" s="2"/>
      <c r="E13" s="3"/>
      <c r="F13" s="2"/>
    </row>
    <row r="14" spans="1:14" ht="20.399999999999999" customHeight="1" thickBot="1" x14ac:dyDescent="0.35">
      <c r="A14" s="4" t="s">
        <v>30</v>
      </c>
      <c r="B14" s="1"/>
      <c r="C14" s="1"/>
      <c r="D14" s="1"/>
      <c r="E14" s="1"/>
      <c r="F14" s="1"/>
    </row>
    <row r="15" spans="1:14" ht="20.399999999999999" customHeight="1" x14ac:dyDescent="0.3">
      <c r="A15" s="89" t="s">
        <v>239</v>
      </c>
      <c r="B15" s="90"/>
      <c r="C15" s="90"/>
      <c r="D15" s="90"/>
      <c r="E15" s="90"/>
      <c r="F15" s="91"/>
    </row>
    <row r="16" spans="1:14" ht="20.399999999999999" customHeight="1" x14ac:dyDescent="0.3">
      <c r="A16" s="92"/>
      <c r="B16" s="93"/>
      <c r="C16" s="93"/>
      <c r="D16" s="93"/>
      <c r="E16" s="93"/>
      <c r="F16" s="94"/>
    </row>
    <row r="17" spans="1:6" ht="20.399999999999999" customHeight="1" x14ac:dyDescent="0.3">
      <c r="A17" s="92"/>
      <c r="B17" s="93"/>
      <c r="C17" s="93"/>
      <c r="D17" s="93"/>
      <c r="E17" s="93"/>
      <c r="F17" s="94"/>
    </row>
    <row r="18" spans="1:6" ht="20.399999999999999" customHeight="1" thickBot="1" x14ac:dyDescent="0.35">
      <c r="A18" s="95"/>
      <c r="B18" s="96"/>
      <c r="C18" s="96"/>
      <c r="D18" s="96"/>
      <c r="E18" s="96"/>
      <c r="F18" s="97"/>
    </row>
    <row r="19" spans="1:6" ht="20.399999999999999" customHeight="1" thickBot="1" x14ac:dyDescent="0.35">
      <c r="A19" s="4" t="s">
        <v>31</v>
      </c>
      <c r="B19" s="1"/>
      <c r="C19" s="1"/>
      <c r="D19" s="1"/>
      <c r="E19" s="1"/>
      <c r="F19" s="1"/>
    </row>
    <row r="20" spans="1:6" ht="20.399999999999999" customHeight="1" x14ac:dyDescent="0.3">
      <c r="A20" s="52" t="s">
        <v>240</v>
      </c>
      <c r="B20" s="53"/>
      <c r="C20" s="53"/>
      <c r="D20" s="53"/>
      <c r="E20" s="53"/>
      <c r="F20" s="54"/>
    </row>
    <row r="21" spans="1:6" ht="20.399999999999999" customHeight="1" x14ac:dyDescent="0.3">
      <c r="A21" s="55"/>
      <c r="B21" s="56"/>
      <c r="C21" s="56"/>
      <c r="D21" s="56"/>
      <c r="E21" s="56"/>
      <c r="F21" s="57"/>
    </row>
    <row r="22" spans="1:6" ht="20.399999999999999" customHeight="1" x14ac:dyDescent="0.3">
      <c r="A22" s="55"/>
      <c r="B22" s="56"/>
      <c r="C22" s="56"/>
      <c r="D22" s="56"/>
      <c r="E22" s="56"/>
      <c r="F22" s="57"/>
    </row>
    <row r="23" spans="1:6" ht="20.399999999999999" customHeight="1" thickBot="1" x14ac:dyDescent="0.35">
      <c r="A23" s="58"/>
      <c r="B23" s="59"/>
      <c r="C23" s="59"/>
      <c r="D23" s="59"/>
      <c r="E23" s="59"/>
      <c r="F23" s="60"/>
    </row>
    <row r="24" spans="1:6" ht="20.399999999999999" customHeight="1" x14ac:dyDescent="0.3">
      <c r="A24" s="61" t="s">
        <v>32</v>
      </c>
      <c r="B24" s="62"/>
      <c r="C24" s="62"/>
      <c r="D24" s="62"/>
      <c r="E24" s="62"/>
      <c r="F24" s="62"/>
    </row>
    <row r="25" spans="1:6" ht="20.399999999999999" customHeight="1" x14ac:dyDescent="0.3">
      <c r="A25" s="65" t="s">
        <v>241</v>
      </c>
      <c r="B25" s="66"/>
      <c r="C25" s="66"/>
      <c r="D25" s="66"/>
      <c r="E25" s="66"/>
      <c r="F25" s="67"/>
    </row>
    <row r="26" spans="1:6" ht="20.399999999999999" customHeight="1" x14ac:dyDescent="0.3">
      <c r="A26" s="68"/>
      <c r="B26" s="69"/>
      <c r="C26" s="69"/>
      <c r="D26" s="69"/>
      <c r="E26" s="69"/>
      <c r="F26" s="70"/>
    </row>
    <row r="27" spans="1:6" ht="20.399999999999999" customHeight="1" x14ac:dyDescent="0.3">
      <c r="A27" s="68"/>
      <c r="B27" s="69"/>
      <c r="C27" s="69"/>
      <c r="D27" s="69"/>
      <c r="E27" s="69"/>
      <c r="F27" s="70"/>
    </row>
    <row r="28" spans="1:6" ht="20.399999999999999" customHeight="1" x14ac:dyDescent="0.3">
      <c r="A28" s="71"/>
      <c r="B28" s="72"/>
      <c r="C28" s="72"/>
      <c r="D28" s="72"/>
      <c r="E28" s="72"/>
      <c r="F28" s="73"/>
    </row>
    <row r="29" spans="1:6" ht="20.399999999999999" customHeight="1" thickBot="1" x14ac:dyDescent="0.35">
      <c r="A29" s="63" t="s">
        <v>33</v>
      </c>
      <c r="B29" s="64"/>
      <c r="C29" s="64"/>
      <c r="D29" s="64"/>
      <c r="E29" s="64"/>
      <c r="F29" s="64"/>
    </row>
    <row r="30" spans="1:6" ht="20.399999999999999" customHeight="1" x14ac:dyDescent="0.3">
      <c r="A30" s="52" t="s">
        <v>242</v>
      </c>
      <c r="B30" s="53"/>
      <c r="C30" s="53"/>
      <c r="D30" s="53"/>
      <c r="E30" s="53"/>
      <c r="F30" s="54"/>
    </row>
    <row r="31" spans="1:6" ht="20.399999999999999" customHeight="1" x14ac:dyDescent="0.3">
      <c r="A31" s="55"/>
      <c r="B31" s="56"/>
      <c r="C31" s="56"/>
      <c r="D31" s="56"/>
      <c r="E31" s="56"/>
      <c r="F31" s="57"/>
    </row>
    <row r="32" spans="1:6" ht="20.399999999999999" customHeight="1" x14ac:dyDescent="0.3">
      <c r="A32" s="55"/>
      <c r="B32" s="56"/>
      <c r="C32" s="56"/>
      <c r="D32" s="56"/>
      <c r="E32" s="56"/>
      <c r="F32" s="57"/>
    </row>
    <row r="33" spans="1:6" ht="20.399999999999999" customHeight="1" thickBot="1" x14ac:dyDescent="0.35">
      <c r="A33" s="58"/>
      <c r="B33" s="59"/>
      <c r="C33" s="59"/>
      <c r="D33" s="59"/>
      <c r="E33" s="59"/>
      <c r="F33" s="60"/>
    </row>
    <row r="34" spans="1:6" ht="20.399999999999999" customHeight="1" thickBot="1" x14ac:dyDescent="0.35">
      <c r="A34" s="4"/>
      <c r="B34" s="1"/>
      <c r="C34" s="1"/>
      <c r="D34" s="1"/>
      <c r="E34" s="1"/>
      <c r="F34" s="1"/>
    </row>
    <row r="35" spans="1:6" ht="20.399999999999999" customHeight="1" thickBot="1" x14ac:dyDescent="0.35">
      <c r="A35" s="4" t="s">
        <v>34</v>
      </c>
      <c r="B35" s="1"/>
      <c r="C35" s="1"/>
      <c r="D35" s="1"/>
      <c r="E35" s="1"/>
      <c r="F35" s="1"/>
    </row>
    <row r="36" spans="1:6" ht="20.399999999999999" customHeight="1" x14ac:dyDescent="0.3">
      <c r="A36" s="89" t="s">
        <v>264</v>
      </c>
      <c r="B36" s="90"/>
      <c r="C36" s="90"/>
      <c r="D36" s="90"/>
      <c r="E36" s="90"/>
      <c r="F36" s="91"/>
    </row>
    <row r="37" spans="1:6" ht="20.399999999999999" customHeight="1" x14ac:dyDescent="0.3">
      <c r="A37" s="92"/>
      <c r="B37" s="93"/>
      <c r="C37" s="93"/>
      <c r="D37" s="93"/>
      <c r="E37" s="93"/>
      <c r="F37" s="94"/>
    </row>
    <row r="38" spans="1:6" ht="20.399999999999999" customHeight="1" x14ac:dyDescent="0.3">
      <c r="A38" s="92"/>
      <c r="B38" s="93"/>
      <c r="C38" s="93"/>
      <c r="D38" s="93"/>
      <c r="E38" s="93"/>
      <c r="F38" s="94"/>
    </row>
    <row r="39" spans="1:6" ht="20.399999999999999" customHeight="1" thickBot="1" x14ac:dyDescent="0.35">
      <c r="A39" s="95"/>
      <c r="B39" s="96"/>
      <c r="C39" s="96"/>
      <c r="D39" s="96"/>
      <c r="E39" s="96"/>
      <c r="F39" s="97"/>
    </row>
    <row r="40" spans="1:6" ht="20.399999999999999" customHeight="1" thickBot="1" x14ac:dyDescent="0.35">
      <c r="A40" s="4"/>
      <c r="B40" s="1"/>
      <c r="C40" s="1"/>
      <c r="D40" s="1"/>
      <c r="E40" s="1"/>
      <c r="F40" s="1"/>
    </row>
    <row r="41" spans="1:6" ht="20.399999999999999" customHeight="1" thickBot="1" x14ac:dyDescent="0.35">
      <c r="A41" s="4" t="s">
        <v>35</v>
      </c>
      <c r="B41" s="1"/>
      <c r="C41" s="1"/>
      <c r="D41" s="1"/>
      <c r="E41" s="1"/>
      <c r="F41" s="1"/>
    </row>
    <row r="42" spans="1:6" ht="20.399999999999999" customHeight="1" x14ac:dyDescent="0.3">
      <c r="A42" s="51"/>
      <c r="B42" s="51"/>
      <c r="C42" s="51"/>
      <c r="D42" s="51"/>
      <c r="E42" s="51"/>
      <c r="F42" s="51"/>
    </row>
    <row r="43" spans="1:6" ht="20.399999999999999" customHeight="1" x14ac:dyDescent="0.3">
      <c r="A43" s="50"/>
      <c r="B43" s="50"/>
      <c r="C43" s="50"/>
      <c r="D43" s="50"/>
      <c r="E43" s="50"/>
      <c r="F43" s="50"/>
    </row>
    <row r="44" spans="1:6" ht="20.399999999999999" customHeight="1" x14ac:dyDescent="0.3">
      <c r="A44" s="50"/>
      <c r="B44" s="50"/>
      <c r="C44" s="50"/>
      <c r="D44" s="50"/>
      <c r="E44" s="50"/>
      <c r="F44" s="50"/>
    </row>
    <row r="45" spans="1:6" ht="20.399999999999999" customHeight="1" x14ac:dyDescent="0.3">
      <c r="A45" s="50"/>
      <c r="B45" s="50"/>
      <c r="C45" s="50"/>
      <c r="D45" s="50"/>
      <c r="E45" s="50"/>
      <c r="F45" s="50"/>
    </row>
    <row r="46" spans="1:6" ht="20.399999999999999" customHeight="1" x14ac:dyDescent="0.3">
      <c r="A46" s="7"/>
      <c r="B46" s="8"/>
      <c r="C46" s="8"/>
      <c r="D46" s="8"/>
      <c r="E46" s="8"/>
      <c r="F46" s="8"/>
    </row>
    <row r="47" spans="1:6" ht="20.399999999999999" customHeight="1" x14ac:dyDescent="0.3">
      <c r="A47" s="7" t="s">
        <v>36</v>
      </c>
      <c r="B47" s="8"/>
      <c r="C47" s="8"/>
      <c r="D47" s="8"/>
      <c r="E47" s="8"/>
      <c r="F47" s="8"/>
    </row>
    <row r="48" spans="1:6" ht="20.399999999999999" customHeight="1" x14ac:dyDescent="0.3">
      <c r="A48" s="50"/>
      <c r="B48" s="50"/>
      <c r="C48" s="50"/>
      <c r="D48" s="50"/>
      <c r="E48" s="50"/>
      <c r="F48" s="50"/>
    </row>
    <row r="49" spans="1:8" ht="20.399999999999999" customHeight="1" x14ac:dyDescent="0.3">
      <c r="A49" s="50"/>
      <c r="B49" s="50"/>
      <c r="C49" s="50"/>
      <c r="D49" s="50"/>
      <c r="E49" s="50"/>
      <c r="F49" s="50"/>
    </row>
    <row r="50" spans="1:8" ht="20.399999999999999" customHeight="1" x14ac:dyDescent="0.3">
      <c r="A50" s="50"/>
      <c r="B50" s="50"/>
      <c r="C50" s="50"/>
      <c r="D50" s="50"/>
      <c r="E50" s="50"/>
      <c r="F50" s="50"/>
    </row>
    <row r="51" spans="1:8" ht="20.399999999999999" customHeight="1" x14ac:dyDescent="0.3">
      <c r="A51" s="50"/>
      <c r="B51" s="50"/>
      <c r="C51" s="50"/>
      <c r="D51" s="50"/>
      <c r="E51" s="50"/>
      <c r="F51" s="50"/>
    </row>
    <row r="52" spans="1:8" ht="20.399999999999999" customHeight="1" thickBot="1" x14ac:dyDescent="0.35">
      <c r="A52" s="7"/>
      <c r="B52" s="8"/>
      <c r="C52" s="8"/>
      <c r="D52" s="8"/>
      <c r="E52" s="8"/>
      <c r="F52" s="8"/>
    </row>
    <row r="53" spans="1:8" ht="20.399999999999999" customHeight="1" thickBot="1" x14ac:dyDescent="0.35">
      <c r="A53" s="4" t="s">
        <v>38</v>
      </c>
      <c r="B53" s="1"/>
      <c r="C53" s="1"/>
      <c r="D53" s="1"/>
      <c r="E53" s="1"/>
      <c r="F53" s="1"/>
    </row>
    <row r="54" spans="1:8" ht="20.399999999999999" customHeight="1" x14ac:dyDescent="0.3">
      <c r="A54" s="52" t="s">
        <v>243</v>
      </c>
      <c r="B54" s="53"/>
      <c r="C54" s="53"/>
      <c r="D54" s="53"/>
      <c r="E54" s="53"/>
      <c r="F54" s="54"/>
    </row>
    <row r="55" spans="1:8" ht="20.399999999999999" customHeight="1" x14ac:dyDescent="0.3">
      <c r="A55" s="55"/>
      <c r="B55" s="56"/>
      <c r="C55" s="56"/>
      <c r="D55" s="56"/>
      <c r="E55" s="56"/>
      <c r="F55" s="57"/>
    </row>
    <row r="56" spans="1:8" ht="20.399999999999999" customHeight="1" thickBot="1" x14ac:dyDescent="0.35">
      <c r="A56" s="58"/>
      <c r="B56" s="59"/>
      <c r="C56" s="59"/>
      <c r="D56" s="59"/>
      <c r="E56" s="59"/>
      <c r="F56" s="60"/>
    </row>
    <row r="57" spans="1:8" ht="20.399999999999999" customHeight="1" thickBot="1" x14ac:dyDescent="0.35">
      <c r="A57" s="4"/>
      <c r="B57" s="1"/>
      <c r="C57" s="1"/>
      <c r="D57" s="1"/>
      <c r="E57" s="1"/>
      <c r="F57" s="1"/>
    </row>
    <row r="58" spans="1:8" ht="20.399999999999999" customHeight="1" thickBot="1" x14ac:dyDescent="0.35">
      <c r="A58" s="4" t="s">
        <v>37</v>
      </c>
      <c r="B58" s="1"/>
      <c r="C58" s="1"/>
      <c r="D58" s="1"/>
      <c r="E58" s="1"/>
      <c r="F58" s="1"/>
    </row>
    <row r="59" spans="1:8" ht="20.399999999999999" customHeight="1" x14ac:dyDescent="0.3">
      <c r="A59" s="52" t="s">
        <v>244</v>
      </c>
      <c r="B59" s="53"/>
      <c r="C59" s="53"/>
      <c r="D59" s="53"/>
      <c r="E59" s="53"/>
      <c r="F59" s="54"/>
    </row>
    <row r="60" spans="1:8" ht="20.399999999999999" customHeight="1" x14ac:dyDescent="0.3">
      <c r="A60" s="55"/>
      <c r="B60" s="56"/>
      <c r="C60" s="56"/>
      <c r="D60" s="56"/>
      <c r="E60" s="56"/>
      <c r="F60" s="57"/>
    </row>
    <row r="61" spans="1:8" ht="20.399999999999999" customHeight="1" thickBot="1" x14ac:dyDescent="0.35">
      <c r="A61" s="58"/>
      <c r="B61" s="59"/>
      <c r="C61" s="59"/>
      <c r="D61" s="59"/>
      <c r="E61" s="59"/>
      <c r="F61" s="60"/>
    </row>
    <row r="62" spans="1:8" ht="20.399999999999999" customHeight="1" thickBot="1" x14ac:dyDescent="0.35">
      <c r="A62" s="4"/>
      <c r="B62" s="1"/>
      <c r="C62" s="1"/>
      <c r="D62" s="1"/>
      <c r="E62" s="1"/>
      <c r="F62" s="1"/>
    </row>
    <row r="63" spans="1:8" ht="20.399999999999999" customHeight="1" thickBot="1" x14ac:dyDescent="0.35">
      <c r="A63" s="4" t="s">
        <v>39</v>
      </c>
      <c r="B63" s="1"/>
      <c r="C63" s="1"/>
      <c r="D63" s="1"/>
      <c r="E63" s="1"/>
      <c r="F63" s="1"/>
      <c r="H63" s="83"/>
    </row>
    <row r="64" spans="1:8" ht="20.399999999999999" customHeight="1" x14ac:dyDescent="0.3">
      <c r="A64" s="74" t="s">
        <v>245</v>
      </c>
      <c r="B64" s="75"/>
      <c r="C64" s="75"/>
      <c r="D64" s="75"/>
      <c r="E64" s="75"/>
      <c r="F64" s="76"/>
    </row>
    <row r="65" spans="1:6" ht="20.399999999999999" customHeight="1" x14ac:dyDescent="0.3">
      <c r="A65" s="77"/>
      <c r="B65" s="78"/>
      <c r="C65" s="78"/>
      <c r="D65" s="78"/>
      <c r="E65" s="78"/>
      <c r="F65" s="79"/>
    </row>
    <row r="66" spans="1:6" ht="20.399999999999999" customHeight="1" x14ac:dyDescent="0.3">
      <c r="A66" s="77"/>
      <c r="B66" s="78"/>
      <c r="C66" s="78"/>
      <c r="D66" s="78"/>
      <c r="E66" s="78"/>
      <c r="F66" s="79"/>
    </row>
    <row r="67" spans="1:6" ht="20.399999999999999" customHeight="1" x14ac:dyDescent="0.3">
      <c r="A67" s="77"/>
      <c r="B67" s="78"/>
      <c r="C67" s="78"/>
      <c r="D67" s="78"/>
      <c r="E67" s="78"/>
      <c r="F67" s="79"/>
    </row>
    <row r="68" spans="1:6" ht="20.399999999999999" customHeight="1" thickBot="1" x14ac:dyDescent="0.35">
      <c r="A68" s="80"/>
      <c r="B68" s="81"/>
      <c r="C68" s="81"/>
      <c r="D68" s="81"/>
      <c r="E68" s="81"/>
      <c r="F68" s="82"/>
    </row>
    <row r="69" spans="1:6" ht="20.399999999999999" customHeight="1" thickBot="1" x14ac:dyDescent="0.35">
      <c r="A69" s="1"/>
      <c r="B69" s="1"/>
      <c r="C69" s="1"/>
      <c r="D69" s="1"/>
      <c r="E69" s="1"/>
      <c r="F69" s="1"/>
    </row>
    <row r="70" spans="1:6" ht="20.399999999999999" customHeight="1" thickBot="1" x14ac:dyDescent="0.35">
      <c r="A70" s="1"/>
      <c r="B70" s="1"/>
      <c r="C70" s="1"/>
      <c r="D70" s="1"/>
      <c r="E70" s="1"/>
      <c r="F70" s="1"/>
    </row>
    <row r="71" spans="1:6" ht="20.399999999999999" customHeight="1" thickBot="1" x14ac:dyDescent="0.35">
      <c r="A71" s="1"/>
      <c r="B71" s="1"/>
      <c r="C71" s="1"/>
      <c r="D71" s="1"/>
      <c r="E71" s="1"/>
      <c r="F71" s="1"/>
    </row>
  </sheetData>
  <mergeCells count="10">
    <mergeCell ref="A48:F51"/>
    <mergeCell ref="A54:F56"/>
    <mergeCell ref="A59:F61"/>
    <mergeCell ref="A64:F68"/>
    <mergeCell ref="A15:F18"/>
    <mergeCell ref="A20:F23"/>
    <mergeCell ref="A25:F28"/>
    <mergeCell ref="A30:F33"/>
    <mergeCell ref="A36:F39"/>
    <mergeCell ref="A42:F4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B4BB3-9344-407D-874F-0A0643EB19D9}">
  <dimension ref="C4:D15"/>
  <sheetViews>
    <sheetView workbookViewId="0">
      <selection activeCell="D6" sqref="D6"/>
    </sheetView>
  </sheetViews>
  <sheetFormatPr defaultRowHeight="14.4" x14ac:dyDescent="0.3"/>
  <cols>
    <col min="3" max="3" width="20.109375" customWidth="1"/>
    <col min="4" max="4" width="113.21875" customWidth="1"/>
  </cols>
  <sheetData>
    <row r="4" spans="3:4" ht="18.600000000000001" x14ac:dyDescent="0.45">
      <c r="C4" s="46" t="s">
        <v>231</v>
      </c>
      <c r="D4" s="46" t="s">
        <v>246</v>
      </c>
    </row>
    <row r="5" spans="3:4" ht="18.600000000000001" x14ac:dyDescent="0.45">
      <c r="C5" s="47"/>
      <c r="D5" s="47"/>
    </row>
    <row r="6" spans="3:4" ht="18.600000000000001" x14ac:dyDescent="0.45">
      <c r="C6" s="46" t="s">
        <v>232</v>
      </c>
      <c r="D6" s="84">
        <v>46202</v>
      </c>
    </row>
    <row r="7" spans="3:4" ht="18.600000000000001" x14ac:dyDescent="0.45">
      <c r="C7" s="47"/>
      <c r="D7" s="47"/>
    </row>
    <row r="8" spans="3:4" ht="18.600000000000001" x14ac:dyDescent="0.45">
      <c r="C8" s="47"/>
      <c r="D8" s="47"/>
    </row>
    <row r="9" spans="3:4" ht="18.600000000000001" x14ac:dyDescent="0.45">
      <c r="C9" s="47"/>
      <c r="D9" s="47"/>
    </row>
    <row r="10" spans="3:4" ht="22.2" x14ac:dyDescent="0.55000000000000004">
      <c r="C10" s="48" t="s">
        <v>233</v>
      </c>
      <c r="D10" s="49" t="s">
        <v>236</v>
      </c>
    </row>
    <row r="11" spans="3:4" ht="18.600000000000001" x14ac:dyDescent="0.45">
      <c r="C11" s="47"/>
    </row>
    <row r="12" spans="3:4" ht="22.2" x14ac:dyDescent="0.55000000000000004">
      <c r="C12" s="47"/>
      <c r="D12" s="49" t="s">
        <v>234</v>
      </c>
    </row>
    <row r="13" spans="3:4" ht="22.2" x14ac:dyDescent="0.55000000000000004">
      <c r="C13" s="47"/>
      <c r="D13" s="49" t="s">
        <v>235</v>
      </c>
    </row>
    <row r="14" spans="3:4" ht="22.2" x14ac:dyDescent="0.55000000000000004">
      <c r="C14" s="47"/>
      <c r="D14" s="49" t="s">
        <v>237</v>
      </c>
    </row>
    <row r="15" spans="3:4" ht="22.2" x14ac:dyDescent="0.55000000000000004">
      <c r="D15" s="49" t="s">
        <v>238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95990-CC04-464C-88C3-47127EA37171}">
  <dimension ref="A1:G15"/>
  <sheetViews>
    <sheetView workbookViewId="0">
      <selection activeCell="F10" sqref="F10"/>
    </sheetView>
  </sheetViews>
  <sheetFormatPr defaultRowHeight="14.4" x14ac:dyDescent="0.3"/>
  <cols>
    <col min="6" max="6" width="19.88671875" customWidth="1"/>
    <col min="7" max="7" width="13" customWidth="1"/>
  </cols>
  <sheetData>
    <row r="1" spans="1:7" x14ac:dyDescent="0.3">
      <c r="A1" t="s">
        <v>70</v>
      </c>
      <c r="B1" s="17"/>
    </row>
    <row r="2" spans="1:7" x14ac:dyDescent="0.3">
      <c r="B2" s="17"/>
    </row>
    <row r="3" spans="1:7" x14ac:dyDescent="0.3">
      <c r="A3" s="18" t="s">
        <v>55</v>
      </c>
      <c r="B3" s="18" t="s">
        <v>56</v>
      </c>
      <c r="C3" s="18" t="s">
        <v>57</v>
      </c>
      <c r="D3" s="18" t="s">
        <v>58</v>
      </c>
      <c r="F3" s="19" t="s">
        <v>59</v>
      </c>
      <c r="G3" s="18" t="s">
        <v>60</v>
      </c>
    </row>
    <row r="4" spans="1:7" x14ac:dyDescent="0.3">
      <c r="A4" s="20">
        <v>45300</v>
      </c>
      <c r="B4" s="21" t="s">
        <v>61</v>
      </c>
      <c r="C4" s="21" t="s">
        <v>62</v>
      </c>
      <c r="D4" s="21">
        <v>271</v>
      </c>
      <c r="F4" s="22" t="s">
        <v>61</v>
      </c>
      <c r="G4" s="23">
        <f>COUNTIF(A4:D15,F4)</f>
        <v>7</v>
      </c>
    </row>
    <row r="5" spans="1:7" x14ac:dyDescent="0.3">
      <c r="A5" s="20">
        <v>45302</v>
      </c>
      <c r="B5" s="21" t="s">
        <v>63</v>
      </c>
      <c r="C5" s="21" t="s">
        <v>64</v>
      </c>
      <c r="D5" s="21">
        <v>569</v>
      </c>
      <c r="F5" s="22" t="s">
        <v>65</v>
      </c>
      <c r="G5" s="23">
        <f>COUNTIFS(B4:B15,"Red",C4:C15,"UK")</f>
        <v>3</v>
      </c>
    </row>
    <row r="6" spans="1:7" x14ac:dyDescent="0.3">
      <c r="A6" s="20">
        <v>45326</v>
      </c>
      <c r="B6" s="21" t="s">
        <v>61</v>
      </c>
      <c r="C6" s="21" t="s">
        <v>66</v>
      </c>
      <c r="D6" s="21">
        <v>787</v>
      </c>
      <c r="F6" s="22" t="s">
        <v>67</v>
      </c>
      <c r="G6" s="23">
        <f>COUNTIFS(B4:B15,"Red",D4:D15,"&gt;250")</f>
        <v>6</v>
      </c>
    </row>
    <row r="7" spans="1:7" x14ac:dyDescent="0.3">
      <c r="A7" s="20">
        <v>45327</v>
      </c>
      <c r="B7" s="21" t="s">
        <v>63</v>
      </c>
      <c r="C7" s="21" t="s">
        <v>62</v>
      </c>
      <c r="D7" s="21">
        <v>681</v>
      </c>
      <c r="F7" s="22" t="s">
        <v>68</v>
      </c>
      <c r="G7" s="23">
        <f>COUNTIFS(B4:B15,F4,C4:C15,C4,D4:D15,"&gt;20")</f>
        <v>3</v>
      </c>
    </row>
    <row r="8" spans="1:7" x14ac:dyDescent="0.3">
      <c r="A8" s="20">
        <v>45328</v>
      </c>
      <c r="B8" s="21" t="s">
        <v>63</v>
      </c>
      <c r="C8" s="21" t="s">
        <v>69</v>
      </c>
      <c r="D8" s="21">
        <v>331</v>
      </c>
    </row>
    <row r="9" spans="1:7" x14ac:dyDescent="0.3">
      <c r="A9" s="20">
        <v>45360</v>
      </c>
      <c r="B9" s="21" t="s">
        <v>61</v>
      </c>
      <c r="C9" s="21" t="s">
        <v>69</v>
      </c>
      <c r="D9" s="21">
        <v>772</v>
      </c>
    </row>
    <row r="10" spans="1:7" x14ac:dyDescent="0.3">
      <c r="A10" s="20">
        <v>45405</v>
      </c>
      <c r="B10" s="21" t="s">
        <v>61</v>
      </c>
      <c r="C10" s="21" t="s">
        <v>62</v>
      </c>
      <c r="D10" s="21">
        <v>200</v>
      </c>
    </row>
    <row r="11" spans="1:7" x14ac:dyDescent="0.3">
      <c r="A11" s="20">
        <v>45331</v>
      </c>
      <c r="B11" s="21" t="s">
        <v>61</v>
      </c>
      <c r="C11" s="21" t="s">
        <v>64</v>
      </c>
      <c r="D11" s="21">
        <v>567</v>
      </c>
    </row>
    <row r="12" spans="1:7" x14ac:dyDescent="0.3">
      <c r="A12" s="20">
        <v>45332</v>
      </c>
      <c r="B12" s="21" t="s">
        <v>63</v>
      </c>
      <c r="C12" s="21" t="s">
        <v>69</v>
      </c>
      <c r="D12" s="21">
        <v>404</v>
      </c>
    </row>
    <row r="13" spans="1:7" x14ac:dyDescent="0.3">
      <c r="A13" s="20">
        <v>45333</v>
      </c>
      <c r="B13" s="21" t="s">
        <v>61</v>
      </c>
      <c r="C13" s="21" t="s">
        <v>62</v>
      </c>
      <c r="D13" s="21">
        <v>450</v>
      </c>
      <c r="F13" t="s">
        <v>198</v>
      </c>
    </row>
    <row r="14" spans="1:7" x14ac:dyDescent="0.3">
      <c r="A14" s="20">
        <v>45421</v>
      </c>
      <c r="B14" s="21" t="s">
        <v>63</v>
      </c>
      <c r="C14" s="21" t="s">
        <v>66</v>
      </c>
      <c r="D14" s="21">
        <v>241</v>
      </c>
    </row>
    <row r="15" spans="1:7" x14ac:dyDescent="0.3">
      <c r="A15" s="20">
        <v>45422</v>
      </c>
      <c r="B15" s="21" t="s">
        <v>61</v>
      </c>
      <c r="C15" s="21" t="s">
        <v>64</v>
      </c>
      <c r="D15" s="21">
        <v>561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B64FD-4BDA-44F3-84CC-C2E729EA4A74}">
  <dimension ref="A1:M260"/>
  <sheetViews>
    <sheetView topLeftCell="A4" workbookViewId="0">
      <selection activeCell="I13" sqref="I13"/>
    </sheetView>
  </sheetViews>
  <sheetFormatPr defaultRowHeight="14.4" x14ac:dyDescent="0.3"/>
  <cols>
    <col min="1" max="1" width="10.88671875" bestFit="1" customWidth="1"/>
    <col min="2" max="2" width="11.88671875" bestFit="1" customWidth="1"/>
    <col min="3" max="3" width="13.21875" bestFit="1" customWidth="1"/>
    <col min="4" max="4" width="10.88671875" bestFit="1" customWidth="1"/>
    <col min="9" max="9" width="13.44140625" bestFit="1" customWidth="1"/>
    <col min="10" max="11" width="14.88671875" bestFit="1" customWidth="1"/>
    <col min="12" max="12" width="13.44140625" bestFit="1" customWidth="1"/>
    <col min="13" max="13" width="14.88671875" bestFit="1" customWidth="1"/>
  </cols>
  <sheetData>
    <row r="1" spans="1:13" x14ac:dyDescent="0.3">
      <c r="A1" s="24" t="s">
        <v>71</v>
      </c>
      <c r="B1" s="24" t="s">
        <v>72</v>
      </c>
      <c r="C1" s="25" t="s">
        <v>73</v>
      </c>
      <c r="D1" s="26" t="s">
        <v>74</v>
      </c>
      <c r="E1" s="27" t="s">
        <v>75</v>
      </c>
      <c r="G1" t="s">
        <v>76</v>
      </c>
      <c r="H1" t="s">
        <v>77</v>
      </c>
    </row>
    <row r="2" spans="1:13" x14ac:dyDescent="0.3">
      <c r="A2" s="22" t="s">
        <v>78</v>
      </c>
      <c r="B2" s="28" t="s">
        <v>79</v>
      </c>
      <c r="C2" s="29">
        <v>400000</v>
      </c>
      <c r="D2" s="28"/>
      <c r="E2" s="28" t="str">
        <f>TEXT(B2,"mmm")</f>
        <v>Jun</v>
      </c>
    </row>
    <row r="3" spans="1:13" x14ac:dyDescent="0.3">
      <c r="A3" s="22" t="s">
        <v>78</v>
      </c>
      <c r="B3" s="28" t="s">
        <v>80</v>
      </c>
      <c r="C3" s="29">
        <v>400000</v>
      </c>
      <c r="D3" s="28"/>
      <c r="E3" s="28" t="str">
        <f t="shared" ref="E3:E66" si="0">TEXT(B3,"mmm")</f>
        <v>Jul</v>
      </c>
      <c r="H3" s="30"/>
      <c r="I3" s="31" t="s">
        <v>81</v>
      </c>
      <c r="J3" s="31" t="s">
        <v>82</v>
      </c>
      <c r="K3" s="31" t="s">
        <v>83</v>
      </c>
      <c r="L3" s="31" t="s">
        <v>84</v>
      </c>
      <c r="M3" s="31" t="s">
        <v>85</v>
      </c>
    </row>
    <row r="4" spans="1:13" x14ac:dyDescent="0.3">
      <c r="A4" s="22" t="s">
        <v>78</v>
      </c>
      <c r="B4" s="28" t="s">
        <v>86</v>
      </c>
      <c r="C4" s="29">
        <v>766667</v>
      </c>
      <c r="D4" s="28"/>
      <c r="E4" s="28" t="str">
        <f t="shared" si="0"/>
        <v>Apr</v>
      </c>
      <c r="H4" s="32" t="s">
        <v>78</v>
      </c>
      <c r="I4" s="88">
        <f>SUMIFS($C$2:$C$260,$A$2:$A$260,$H4,$E$2:$E$260,I$3)</f>
        <v>9573334</v>
      </c>
      <c r="J4" s="88">
        <f>SUMIFS($C$2:$C$260,$A$2:$A$260,$H$4,$E$2:$E$260,J$3)</f>
        <v>19689693.060000002</v>
      </c>
      <c r="K4" s="88">
        <f>SUMIFS($C$2:$C$260,$A$2:$A$260,$H$4,$E$2:$E$260,K$3)</f>
        <v>46718604.53199999</v>
      </c>
      <c r="L4" s="88">
        <f t="shared" ref="K4:M4" si="1">SUMIFS($C$2:$C$260,$A$2:$A$260,$H$4,$E$2:$E$260,L$3)</f>
        <v>7083333</v>
      </c>
      <c r="M4" s="88">
        <f t="shared" si="1"/>
        <v>24178099.272500001</v>
      </c>
    </row>
    <row r="5" spans="1:13" x14ac:dyDescent="0.3">
      <c r="A5" s="22" t="s">
        <v>78</v>
      </c>
      <c r="B5" s="28" t="s">
        <v>86</v>
      </c>
      <c r="C5" s="29">
        <v>200000</v>
      </c>
      <c r="D5" s="28"/>
      <c r="E5" s="28" t="str">
        <f t="shared" si="0"/>
        <v>Apr</v>
      </c>
      <c r="H5" s="33" t="s">
        <v>87</v>
      </c>
      <c r="I5" s="88">
        <f>SUMIFS($C$3:C$261,$A$3:$A$261,$H$5,$E$3:$E$261,I$3)</f>
        <v>431581</v>
      </c>
      <c r="J5" s="88">
        <f>SUMIFS($C$2:C$261,$A$2:$A$261,$H$5,$E$2:$E$261,J$3)</f>
        <v>1194833</v>
      </c>
      <c r="K5" s="88">
        <f>SUMIFS($C$2:C$261,$A$2:$A$261,$H$5,$E$2:$E$261,K$3)</f>
        <v>5356660.2589999996</v>
      </c>
      <c r="L5" s="88">
        <f>SUMIFS($C$2:$C261,$A$2:$A$261,$H$5,$E$2:$E$261,L$3)</f>
        <v>695000</v>
      </c>
      <c r="M5" s="88">
        <f>SUMIFS($C$2:$C261,$A$2:$A$261,$H$5,$E$2:$E$261,M$3)</f>
        <v>1408269.7165000001</v>
      </c>
    </row>
    <row r="6" spans="1:13" x14ac:dyDescent="0.3">
      <c r="A6" s="22" t="s">
        <v>78</v>
      </c>
      <c r="B6" s="28" t="s">
        <v>86</v>
      </c>
      <c r="C6" s="29">
        <v>900000</v>
      </c>
      <c r="D6" s="28"/>
      <c r="E6" s="28" t="str">
        <f t="shared" si="0"/>
        <v>Apr</v>
      </c>
    </row>
    <row r="7" spans="1:13" x14ac:dyDescent="0.3">
      <c r="A7" s="22" t="s">
        <v>78</v>
      </c>
      <c r="B7" s="28" t="s">
        <v>86</v>
      </c>
      <c r="C7" s="29">
        <v>3000000</v>
      </c>
      <c r="D7" s="28"/>
      <c r="E7" s="28" t="str">
        <f t="shared" si="0"/>
        <v>Apr</v>
      </c>
    </row>
    <row r="8" spans="1:13" x14ac:dyDescent="0.3">
      <c r="A8" s="22" t="s">
        <v>87</v>
      </c>
      <c r="B8" s="28" t="s">
        <v>88</v>
      </c>
      <c r="C8" s="29">
        <v>19833</v>
      </c>
      <c r="D8" s="28"/>
      <c r="E8" s="28" t="str">
        <f t="shared" si="0"/>
        <v>May</v>
      </c>
    </row>
    <row r="9" spans="1:13" x14ac:dyDescent="0.3">
      <c r="A9" s="22" t="s">
        <v>87</v>
      </c>
      <c r="B9" s="28" t="s">
        <v>89</v>
      </c>
      <c r="C9" s="29">
        <v>86667</v>
      </c>
      <c r="D9" s="28"/>
      <c r="E9" s="28" t="str">
        <f t="shared" si="0"/>
        <v>Apr</v>
      </c>
    </row>
    <row r="10" spans="1:13" x14ac:dyDescent="0.3">
      <c r="A10" s="22" t="s">
        <v>78</v>
      </c>
      <c r="B10" s="28" t="s">
        <v>89</v>
      </c>
      <c r="C10" s="29">
        <v>866667</v>
      </c>
      <c r="D10" s="28"/>
      <c r="E10" s="28" t="str">
        <f t="shared" si="0"/>
        <v>Apr</v>
      </c>
    </row>
    <row r="11" spans="1:13" x14ac:dyDescent="0.3">
      <c r="A11" s="22" t="s">
        <v>78</v>
      </c>
      <c r="B11" s="28" t="s">
        <v>90</v>
      </c>
      <c r="C11" s="29">
        <v>625000</v>
      </c>
      <c r="D11" s="28"/>
      <c r="E11" s="28" t="str">
        <f t="shared" si="0"/>
        <v>May</v>
      </c>
    </row>
    <row r="12" spans="1:13" x14ac:dyDescent="0.3">
      <c r="A12" s="22" t="s">
        <v>78</v>
      </c>
      <c r="B12" s="28" t="s">
        <v>90</v>
      </c>
      <c r="C12" s="29">
        <v>625009</v>
      </c>
      <c r="D12" s="28"/>
      <c r="E12" s="28" t="str">
        <f t="shared" si="0"/>
        <v>May</v>
      </c>
    </row>
    <row r="13" spans="1:13" x14ac:dyDescent="0.3">
      <c r="A13" s="22" t="s">
        <v>78</v>
      </c>
      <c r="B13" s="28" t="s">
        <v>91</v>
      </c>
      <c r="C13" s="29">
        <v>1166668</v>
      </c>
      <c r="D13" s="28"/>
      <c r="E13" s="28" t="str">
        <f t="shared" si="0"/>
        <v>May</v>
      </c>
    </row>
    <row r="14" spans="1:13" x14ac:dyDescent="0.3">
      <c r="A14" s="22" t="s">
        <v>87</v>
      </c>
      <c r="B14" s="28" t="s">
        <v>92</v>
      </c>
      <c r="C14" s="29">
        <v>250000</v>
      </c>
      <c r="D14" s="28"/>
      <c r="E14" s="28" t="str">
        <f t="shared" si="0"/>
        <v>Jul</v>
      </c>
    </row>
    <row r="15" spans="1:13" x14ac:dyDescent="0.3">
      <c r="A15" s="22" t="s">
        <v>78</v>
      </c>
      <c r="B15" s="28" t="s">
        <v>92</v>
      </c>
      <c r="C15" s="29">
        <v>750000</v>
      </c>
      <c r="D15" s="28"/>
      <c r="E15" s="28" t="str">
        <f t="shared" si="0"/>
        <v>Jul</v>
      </c>
    </row>
    <row r="16" spans="1:13" x14ac:dyDescent="0.3">
      <c r="A16" s="22" t="s">
        <v>78</v>
      </c>
      <c r="B16" s="28" t="s">
        <v>93</v>
      </c>
      <c r="C16" s="29">
        <v>600000</v>
      </c>
      <c r="D16" s="28"/>
      <c r="E16" s="28" t="str">
        <f t="shared" si="0"/>
        <v>Jul</v>
      </c>
    </row>
    <row r="17" spans="1:5" x14ac:dyDescent="0.3">
      <c r="A17" s="22" t="s">
        <v>87</v>
      </c>
      <c r="B17" s="28" t="s">
        <v>94</v>
      </c>
      <c r="C17" s="29">
        <v>24914</v>
      </c>
      <c r="D17" s="28"/>
      <c r="E17" s="28" t="str">
        <f t="shared" si="0"/>
        <v>Apr</v>
      </c>
    </row>
    <row r="18" spans="1:5" x14ac:dyDescent="0.3">
      <c r="A18" s="22" t="s">
        <v>78</v>
      </c>
      <c r="B18" s="28" t="s">
        <v>95</v>
      </c>
      <c r="C18" s="29">
        <v>1280000</v>
      </c>
      <c r="D18" s="28"/>
      <c r="E18" s="28" t="str">
        <f t="shared" si="0"/>
        <v>Apr</v>
      </c>
    </row>
    <row r="19" spans="1:5" x14ac:dyDescent="0.3">
      <c r="A19" s="22" t="s">
        <v>87</v>
      </c>
      <c r="B19" s="28" t="s">
        <v>96</v>
      </c>
      <c r="C19" s="29">
        <v>200000</v>
      </c>
      <c r="D19" s="28"/>
      <c r="E19" s="28" t="str">
        <f t="shared" si="0"/>
        <v>Jun</v>
      </c>
    </row>
    <row r="20" spans="1:5" x14ac:dyDescent="0.3">
      <c r="A20" s="22" t="s">
        <v>78</v>
      </c>
      <c r="B20" s="28" t="s">
        <v>96</v>
      </c>
      <c r="C20" s="29">
        <v>1100000</v>
      </c>
      <c r="D20" s="28"/>
      <c r="E20" s="28" t="str">
        <f t="shared" si="0"/>
        <v>Jun</v>
      </c>
    </row>
    <row r="21" spans="1:5" x14ac:dyDescent="0.3">
      <c r="A21" s="22" t="s">
        <v>78</v>
      </c>
      <c r="B21" s="28" t="s">
        <v>92</v>
      </c>
      <c r="C21" s="29">
        <v>1100000</v>
      </c>
      <c r="D21" s="28"/>
      <c r="E21" s="28" t="str">
        <f t="shared" si="0"/>
        <v>Jul</v>
      </c>
    </row>
    <row r="22" spans="1:5" x14ac:dyDescent="0.3">
      <c r="A22" s="22" t="s">
        <v>78</v>
      </c>
      <c r="B22" s="28" t="s">
        <v>97</v>
      </c>
      <c r="C22" s="29">
        <v>666667</v>
      </c>
      <c r="D22" s="28"/>
      <c r="E22" s="28" t="str">
        <f t="shared" si="0"/>
        <v>Jun</v>
      </c>
    </row>
    <row r="23" spans="1:5" x14ac:dyDescent="0.3">
      <c r="A23" s="22" t="s">
        <v>78</v>
      </c>
      <c r="B23" s="28" t="s">
        <v>97</v>
      </c>
      <c r="C23" s="29">
        <v>250000</v>
      </c>
      <c r="D23" s="28"/>
      <c r="E23" s="28" t="str">
        <f t="shared" si="0"/>
        <v>Jun</v>
      </c>
    </row>
    <row r="24" spans="1:5" x14ac:dyDescent="0.3">
      <c r="A24" s="22" t="s">
        <v>87</v>
      </c>
      <c r="B24" s="28" t="s">
        <v>98</v>
      </c>
      <c r="C24" s="29">
        <v>125000</v>
      </c>
      <c r="D24" s="28"/>
      <c r="E24" s="28" t="str">
        <f t="shared" si="0"/>
        <v>May</v>
      </c>
    </row>
    <row r="25" spans="1:5" x14ac:dyDescent="0.3">
      <c r="A25" s="22" t="s">
        <v>78</v>
      </c>
      <c r="B25" s="28" t="s">
        <v>98</v>
      </c>
      <c r="C25" s="29">
        <v>1000000</v>
      </c>
      <c r="D25" s="28"/>
      <c r="E25" s="28" t="str">
        <f t="shared" si="0"/>
        <v>May</v>
      </c>
    </row>
    <row r="26" spans="1:5" x14ac:dyDescent="0.3">
      <c r="A26" s="22" t="s">
        <v>87</v>
      </c>
      <c r="B26" s="28" t="s">
        <v>99</v>
      </c>
      <c r="C26" s="29">
        <v>250000</v>
      </c>
      <c r="D26" s="28"/>
      <c r="E26" s="28" t="str">
        <f t="shared" si="0"/>
        <v>Jun</v>
      </c>
    </row>
    <row r="27" spans="1:5" x14ac:dyDescent="0.3">
      <c r="A27" s="22" t="s">
        <v>78</v>
      </c>
      <c r="B27" s="28" t="s">
        <v>99</v>
      </c>
      <c r="C27" s="29">
        <v>1875000</v>
      </c>
      <c r="D27" s="28"/>
      <c r="E27" s="28" t="str">
        <f t="shared" si="0"/>
        <v>Jun</v>
      </c>
    </row>
    <row r="28" spans="1:5" x14ac:dyDescent="0.3">
      <c r="A28" s="22" t="s">
        <v>78</v>
      </c>
      <c r="B28" s="28" t="s">
        <v>91</v>
      </c>
      <c r="C28" s="29">
        <v>600000</v>
      </c>
      <c r="D28" s="28"/>
      <c r="E28" s="28" t="str">
        <f t="shared" si="0"/>
        <v>May</v>
      </c>
    </row>
    <row r="29" spans="1:5" x14ac:dyDescent="0.3">
      <c r="A29" s="22" t="s">
        <v>78</v>
      </c>
      <c r="B29" s="28" t="s">
        <v>99</v>
      </c>
      <c r="C29" s="29">
        <v>600000</v>
      </c>
      <c r="D29" s="28"/>
      <c r="E29" s="28" t="str">
        <f t="shared" si="0"/>
        <v>Jun</v>
      </c>
    </row>
    <row r="30" spans="1:5" x14ac:dyDescent="0.3">
      <c r="A30" s="22" t="s">
        <v>78</v>
      </c>
      <c r="B30" s="28" t="s">
        <v>88</v>
      </c>
      <c r="C30" s="29">
        <v>1300000</v>
      </c>
      <c r="D30" s="28"/>
      <c r="E30" s="28" t="str">
        <f t="shared" si="0"/>
        <v>May</v>
      </c>
    </row>
    <row r="31" spans="1:5" x14ac:dyDescent="0.3">
      <c r="A31" s="22" t="s">
        <v>78</v>
      </c>
      <c r="B31" s="28" t="s">
        <v>100</v>
      </c>
      <c r="C31" s="29">
        <v>1300000</v>
      </c>
      <c r="D31" s="28"/>
      <c r="E31" s="28" t="str">
        <f t="shared" si="0"/>
        <v>Jul</v>
      </c>
    </row>
    <row r="32" spans="1:5" x14ac:dyDescent="0.3">
      <c r="A32" s="22" t="s">
        <v>87</v>
      </c>
      <c r="B32" s="28" t="s">
        <v>101</v>
      </c>
      <c r="C32" s="29">
        <v>-95000</v>
      </c>
      <c r="D32" s="28"/>
      <c r="E32" s="28" t="str">
        <f t="shared" si="0"/>
        <v>Aug</v>
      </c>
    </row>
    <row r="33" spans="1:5" x14ac:dyDescent="0.3">
      <c r="A33" s="22" t="s">
        <v>87</v>
      </c>
      <c r="B33" s="28" t="s">
        <v>102</v>
      </c>
      <c r="C33" s="29">
        <v>95000</v>
      </c>
      <c r="D33" s="28"/>
      <c r="E33" s="28" t="str">
        <f t="shared" si="0"/>
        <v>Jul</v>
      </c>
    </row>
    <row r="34" spans="1:5" x14ac:dyDescent="0.3">
      <c r="A34" s="22" t="s">
        <v>78</v>
      </c>
      <c r="B34" s="28" t="s">
        <v>102</v>
      </c>
      <c r="C34" s="29">
        <v>950000</v>
      </c>
      <c r="D34" s="28"/>
      <c r="E34" s="28" t="str">
        <f t="shared" si="0"/>
        <v>Jul</v>
      </c>
    </row>
    <row r="35" spans="1:5" x14ac:dyDescent="0.3">
      <c r="A35" s="22" t="s">
        <v>87</v>
      </c>
      <c r="B35" s="28" t="s">
        <v>103</v>
      </c>
      <c r="C35" s="29">
        <v>0</v>
      </c>
      <c r="D35" s="28"/>
      <c r="E35" s="28" t="str">
        <f t="shared" si="0"/>
        <v>Jul</v>
      </c>
    </row>
    <row r="36" spans="1:5" x14ac:dyDescent="0.3">
      <c r="A36" s="22" t="s">
        <v>78</v>
      </c>
      <c r="B36" s="28" t="s">
        <v>103</v>
      </c>
      <c r="C36" s="29">
        <v>0</v>
      </c>
      <c r="D36" s="28"/>
      <c r="E36" s="28" t="str">
        <f t="shared" si="0"/>
        <v>Jul</v>
      </c>
    </row>
    <row r="37" spans="1:5" x14ac:dyDescent="0.3">
      <c r="A37" s="22" t="s">
        <v>87</v>
      </c>
      <c r="B37" s="28" t="s">
        <v>89</v>
      </c>
      <c r="C37" s="29">
        <v>195000</v>
      </c>
      <c r="D37" s="28"/>
      <c r="E37" s="28" t="str">
        <f t="shared" si="0"/>
        <v>Apr</v>
      </c>
    </row>
    <row r="38" spans="1:5" x14ac:dyDescent="0.3">
      <c r="A38" s="22" t="s">
        <v>78</v>
      </c>
      <c r="B38" s="28" t="s">
        <v>89</v>
      </c>
      <c r="C38" s="29">
        <v>1560000</v>
      </c>
      <c r="D38" s="28"/>
      <c r="E38" s="28" t="str">
        <f t="shared" si="0"/>
        <v>Apr</v>
      </c>
    </row>
    <row r="39" spans="1:5" x14ac:dyDescent="0.3">
      <c r="A39" s="22" t="s">
        <v>87</v>
      </c>
      <c r="B39" s="28" t="s">
        <v>102</v>
      </c>
      <c r="C39" s="29">
        <v>150000</v>
      </c>
      <c r="D39" s="28"/>
      <c r="E39" s="28" t="str">
        <f t="shared" si="0"/>
        <v>Jul</v>
      </c>
    </row>
    <row r="40" spans="1:5" x14ac:dyDescent="0.3">
      <c r="A40" s="22" t="s">
        <v>78</v>
      </c>
      <c r="B40" s="28" t="s">
        <v>102</v>
      </c>
      <c r="C40" s="29">
        <v>1200000</v>
      </c>
      <c r="D40" s="28"/>
      <c r="E40" s="28" t="str">
        <f t="shared" si="0"/>
        <v>Jul</v>
      </c>
    </row>
    <row r="41" spans="1:5" x14ac:dyDescent="0.3">
      <c r="A41" s="22" t="s">
        <v>87</v>
      </c>
      <c r="B41" s="28" t="s">
        <v>89</v>
      </c>
      <c r="C41" s="29">
        <v>125000</v>
      </c>
      <c r="D41" s="28"/>
      <c r="E41" s="28" t="str">
        <f t="shared" si="0"/>
        <v>Apr</v>
      </c>
    </row>
    <row r="42" spans="1:5" x14ac:dyDescent="0.3">
      <c r="A42" s="22" t="s">
        <v>78</v>
      </c>
      <c r="B42" s="28" t="s">
        <v>89</v>
      </c>
      <c r="C42" s="29">
        <v>1000000</v>
      </c>
      <c r="D42" s="28"/>
      <c r="E42" s="28" t="str">
        <f t="shared" si="0"/>
        <v>Apr</v>
      </c>
    </row>
    <row r="43" spans="1:5" x14ac:dyDescent="0.3">
      <c r="A43" s="22" t="s">
        <v>87</v>
      </c>
      <c r="B43" s="28" t="s">
        <v>99</v>
      </c>
      <c r="C43" s="29">
        <v>195000</v>
      </c>
      <c r="D43" s="28"/>
      <c r="E43" s="28" t="str">
        <f t="shared" si="0"/>
        <v>Jun</v>
      </c>
    </row>
    <row r="44" spans="1:5" x14ac:dyDescent="0.3">
      <c r="A44" s="22" t="s">
        <v>78</v>
      </c>
      <c r="B44" s="28" t="s">
        <v>99</v>
      </c>
      <c r="C44" s="29">
        <v>1560000</v>
      </c>
      <c r="D44" s="28"/>
      <c r="E44" s="28" t="str">
        <f t="shared" si="0"/>
        <v>Jun</v>
      </c>
    </row>
    <row r="45" spans="1:5" x14ac:dyDescent="0.3">
      <c r="A45" s="22" t="s">
        <v>87</v>
      </c>
      <c r="B45" s="28" t="s">
        <v>99</v>
      </c>
      <c r="C45" s="29">
        <v>86667</v>
      </c>
      <c r="D45" s="28"/>
      <c r="E45" s="28" t="str">
        <f t="shared" si="0"/>
        <v>Jun</v>
      </c>
    </row>
    <row r="46" spans="1:5" x14ac:dyDescent="0.3">
      <c r="A46" s="22" t="s">
        <v>78</v>
      </c>
      <c r="B46" s="28" t="s">
        <v>99</v>
      </c>
      <c r="C46" s="29">
        <v>866667</v>
      </c>
      <c r="D46" s="28"/>
      <c r="E46" s="28" t="str">
        <f t="shared" si="0"/>
        <v>Jun</v>
      </c>
    </row>
    <row r="47" spans="1:5" x14ac:dyDescent="0.3">
      <c r="A47" s="22" t="s">
        <v>78</v>
      </c>
      <c r="B47" s="28" t="s">
        <v>91</v>
      </c>
      <c r="C47" s="29">
        <v>530000</v>
      </c>
      <c r="D47" s="28"/>
      <c r="E47" s="28" t="str">
        <f t="shared" si="0"/>
        <v>May</v>
      </c>
    </row>
    <row r="48" spans="1:5" x14ac:dyDescent="0.3">
      <c r="A48" s="22" t="s">
        <v>78</v>
      </c>
      <c r="B48" s="28" t="s">
        <v>91</v>
      </c>
      <c r="C48" s="29">
        <v>540000</v>
      </c>
      <c r="D48" s="28"/>
      <c r="E48" s="28" t="str">
        <f t="shared" si="0"/>
        <v>May</v>
      </c>
    </row>
    <row r="49" spans="1:5" x14ac:dyDescent="0.3">
      <c r="A49" s="22" t="s">
        <v>78</v>
      </c>
      <c r="B49" s="28" t="s">
        <v>104</v>
      </c>
      <c r="C49" s="29">
        <v>750000</v>
      </c>
      <c r="D49" s="28"/>
      <c r="E49" s="28" t="str">
        <f t="shared" si="0"/>
        <v>May</v>
      </c>
    </row>
    <row r="50" spans="1:5" x14ac:dyDescent="0.3">
      <c r="A50" s="22" t="s">
        <v>78</v>
      </c>
      <c r="B50" s="28" t="s">
        <v>91</v>
      </c>
      <c r="C50" s="29">
        <v>750000</v>
      </c>
      <c r="D50" s="28"/>
      <c r="E50" s="28" t="str">
        <f t="shared" si="0"/>
        <v>May</v>
      </c>
    </row>
    <row r="51" spans="1:5" x14ac:dyDescent="0.3">
      <c r="A51" s="22" t="s">
        <v>87</v>
      </c>
      <c r="B51" s="28" t="s">
        <v>93</v>
      </c>
      <c r="C51" s="29">
        <v>200000</v>
      </c>
      <c r="D51" s="28"/>
      <c r="E51" s="28" t="str">
        <f t="shared" si="0"/>
        <v>Jul</v>
      </c>
    </row>
    <row r="52" spans="1:5" x14ac:dyDescent="0.3">
      <c r="A52" s="22" t="s">
        <v>78</v>
      </c>
      <c r="B52" s="28" t="s">
        <v>93</v>
      </c>
      <c r="C52" s="29">
        <v>783333</v>
      </c>
      <c r="D52" s="28"/>
      <c r="E52" s="28" t="str">
        <f t="shared" si="0"/>
        <v>Jul</v>
      </c>
    </row>
    <row r="53" spans="1:5" x14ac:dyDescent="0.3">
      <c r="A53" s="22" t="s">
        <v>78</v>
      </c>
      <c r="B53" s="28" t="s">
        <v>105</v>
      </c>
      <c r="C53" s="29">
        <v>803016.05999999994</v>
      </c>
      <c r="D53" s="28"/>
      <c r="E53" s="28" t="str">
        <f t="shared" si="0"/>
        <v>May</v>
      </c>
    </row>
    <row r="54" spans="1:5" x14ac:dyDescent="0.3">
      <c r="A54" s="22" t="s">
        <v>87</v>
      </c>
      <c r="B54" s="28" t="s">
        <v>97</v>
      </c>
      <c r="C54" s="29">
        <v>500000</v>
      </c>
      <c r="D54" s="28"/>
      <c r="E54" s="28" t="str">
        <f t="shared" si="0"/>
        <v>Jun</v>
      </c>
    </row>
    <row r="55" spans="1:5" x14ac:dyDescent="0.3">
      <c r="A55" s="22" t="s">
        <v>78</v>
      </c>
      <c r="B55" s="28" t="s">
        <v>97</v>
      </c>
      <c r="C55" s="29">
        <v>1666667</v>
      </c>
      <c r="D55" s="28"/>
      <c r="E55" s="28" t="str">
        <f t="shared" si="0"/>
        <v>Jun</v>
      </c>
    </row>
    <row r="56" spans="1:5" x14ac:dyDescent="0.3">
      <c r="A56" s="22" t="s">
        <v>87</v>
      </c>
      <c r="B56" s="28" t="s">
        <v>91</v>
      </c>
      <c r="C56" s="29">
        <v>1050000</v>
      </c>
      <c r="D56" s="28"/>
      <c r="E56" s="28" t="str">
        <f t="shared" si="0"/>
        <v>May</v>
      </c>
    </row>
    <row r="57" spans="1:5" x14ac:dyDescent="0.3">
      <c r="A57" s="22" t="s">
        <v>78</v>
      </c>
      <c r="B57" s="28" t="s">
        <v>91</v>
      </c>
      <c r="C57" s="29">
        <v>7000000</v>
      </c>
      <c r="D57" s="28"/>
      <c r="E57" s="28" t="str">
        <f t="shared" si="0"/>
        <v>May</v>
      </c>
    </row>
    <row r="58" spans="1:5" x14ac:dyDescent="0.3">
      <c r="A58" s="22" t="s">
        <v>78</v>
      </c>
      <c r="B58" s="28" t="s">
        <v>91</v>
      </c>
      <c r="C58" s="29">
        <v>4000000</v>
      </c>
      <c r="D58" s="28"/>
      <c r="E58" s="28" t="str">
        <f t="shared" si="0"/>
        <v>May</v>
      </c>
    </row>
    <row r="59" spans="1:5" x14ac:dyDescent="0.3">
      <c r="A59" s="22" t="s">
        <v>87</v>
      </c>
      <c r="B59" s="28" t="s">
        <v>106</v>
      </c>
      <c r="C59" s="29">
        <v>2999991.6</v>
      </c>
      <c r="D59" s="28"/>
      <c r="E59" s="28" t="str">
        <f t="shared" si="0"/>
        <v>Jun</v>
      </c>
    </row>
    <row r="60" spans="1:5" x14ac:dyDescent="0.3">
      <c r="A60" s="22" t="s">
        <v>78</v>
      </c>
      <c r="B60" s="28" t="s">
        <v>106</v>
      </c>
      <c r="C60" s="29">
        <v>9999972</v>
      </c>
      <c r="D60" s="28"/>
      <c r="E60" s="28" t="str">
        <f t="shared" si="0"/>
        <v>Jun</v>
      </c>
    </row>
    <row r="61" spans="1:5" x14ac:dyDescent="0.3">
      <c r="A61" s="22" t="s">
        <v>78</v>
      </c>
      <c r="B61" s="28" t="s">
        <v>106</v>
      </c>
      <c r="C61" s="29">
        <v>9999972</v>
      </c>
      <c r="D61" s="28"/>
      <c r="E61" s="28" t="str">
        <f t="shared" si="0"/>
        <v>Jun</v>
      </c>
    </row>
    <row r="62" spans="1:5" x14ac:dyDescent="0.3">
      <c r="A62" s="22" t="s">
        <v>78</v>
      </c>
      <c r="B62" s="28" t="s">
        <v>97</v>
      </c>
      <c r="C62" s="29">
        <v>8733660</v>
      </c>
      <c r="D62" s="28"/>
      <c r="E62" s="28" t="str">
        <f t="shared" si="0"/>
        <v>Jun</v>
      </c>
    </row>
    <row r="63" spans="1:5" x14ac:dyDescent="0.3">
      <c r="A63" s="22" t="s">
        <v>87</v>
      </c>
      <c r="B63" s="28" t="s">
        <v>79</v>
      </c>
      <c r="C63" s="29">
        <v>225000.05700000003</v>
      </c>
      <c r="D63" s="28"/>
      <c r="E63" s="28" t="str">
        <f t="shared" si="0"/>
        <v>Jun</v>
      </c>
    </row>
    <row r="64" spans="1:5" x14ac:dyDescent="0.3">
      <c r="A64" s="22" t="s">
        <v>78</v>
      </c>
      <c r="B64" s="28" t="s">
        <v>79</v>
      </c>
      <c r="C64" s="29">
        <v>1499999.9220000003</v>
      </c>
      <c r="D64" s="28"/>
      <c r="E64" s="28" t="str">
        <f t="shared" si="0"/>
        <v>Jun</v>
      </c>
    </row>
    <row r="65" spans="1:5" x14ac:dyDescent="0.3">
      <c r="A65" s="22" t="s">
        <v>78</v>
      </c>
      <c r="B65" s="28" t="s">
        <v>79</v>
      </c>
      <c r="C65" s="29">
        <v>1499999.9220000003</v>
      </c>
      <c r="D65" s="28"/>
      <c r="E65" s="28" t="str">
        <f t="shared" si="0"/>
        <v>Jun</v>
      </c>
    </row>
    <row r="66" spans="1:5" x14ac:dyDescent="0.3">
      <c r="A66" s="22" t="s">
        <v>87</v>
      </c>
      <c r="B66" s="28" t="s">
        <v>79</v>
      </c>
      <c r="C66" s="29">
        <v>150000.26699999999</v>
      </c>
      <c r="D66" s="28"/>
      <c r="E66" s="28" t="str">
        <f t="shared" si="0"/>
        <v>Jun</v>
      </c>
    </row>
    <row r="67" spans="1:5" x14ac:dyDescent="0.3">
      <c r="A67" s="22" t="s">
        <v>78</v>
      </c>
      <c r="B67" s="28" t="s">
        <v>79</v>
      </c>
      <c r="C67" s="29">
        <v>999999.94800000009</v>
      </c>
      <c r="D67" s="28"/>
      <c r="E67" s="28" t="str">
        <f t="shared" ref="E67:E130" si="2">TEXT(B67,"mmm")</f>
        <v>Jun</v>
      </c>
    </row>
    <row r="68" spans="1:5" x14ac:dyDescent="0.3">
      <c r="A68" s="22" t="s">
        <v>87</v>
      </c>
      <c r="B68" s="28" t="s">
        <v>79</v>
      </c>
      <c r="C68" s="29">
        <v>150000.26699999999</v>
      </c>
      <c r="D68" s="28"/>
      <c r="E68" s="28" t="str">
        <f t="shared" si="2"/>
        <v>Jun</v>
      </c>
    </row>
    <row r="69" spans="1:5" x14ac:dyDescent="0.3">
      <c r="A69" s="22" t="s">
        <v>78</v>
      </c>
      <c r="B69" s="28" t="s">
        <v>79</v>
      </c>
      <c r="C69" s="29">
        <v>999999.94800000009</v>
      </c>
      <c r="D69" s="28"/>
      <c r="E69" s="28" t="str">
        <f t="shared" si="2"/>
        <v>Jun</v>
      </c>
    </row>
    <row r="70" spans="1:5" x14ac:dyDescent="0.3">
      <c r="A70" s="22" t="s">
        <v>87</v>
      </c>
      <c r="B70" s="28" t="s">
        <v>79</v>
      </c>
      <c r="C70" s="29">
        <v>150000.26699999999</v>
      </c>
      <c r="D70" s="28"/>
      <c r="E70" s="28" t="str">
        <f t="shared" si="2"/>
        <v>Jun</v>
      </c>
    </row>
    <row r="71" spans="1:5" x14ac:dyDescent="0.3">
      <c r="A71" s="22" t="s">
        <v>78</v>
      </c>
      <c r="B71" s="28" t="s">
        <v>79</v>
      </c>
      <c r="C71" s="29">
        <v>999999.94800000009</v>
      </c>
      <c r="D71" s="28"/>
      <c r="E71" s="28" t="str">
        <f t="shared" si="2"/>
        <v>Jun</v>
      </c>
    </row>
    <row r="72" spans="1:5" x14ac:dyDescent="0.3">
      <c r="A72" s="22" t="s">
        <v>87</v>
      </c>
      <c r="B72" s="28" t="s">
        <v>79</v>
      </c>
      <c r="C72" s="29">
        <v>150000.26699999999</v>
      </c>
      <c r="D72" s="28"/>
      <c r="E72" s="28" t="str">
        <f t="shared" si="2"/>
        <v>Jun</v>
      </c>
    </row>
    <row r="73" spans="1:5" x14ac:dyDescent="0.3">
      <c r="A73" s="22" t="s">
        <v>78</v>
      </c>
      <c r="B73" s="28" t="s">
        <v>79</v>
      </c>
      <c r="C73" s="29">
        <v>999999.94800000009</v>
      </c>
      <c r="D73" s="28"/>
      <c r="E73" s="28" t="str">
        <f t="shared" si="2"/>
        <v>Jun</v>
      </c>
    </row>
    <row r="74" spans="1:5" x14ac:dyDescent="0.3">
      <c r="A74" s="22" t="s">
        <v>87</v>
      </c>
      <c r="B74" s="28" t="s">
        <v>79</v>
      </c>
      <c r="C74" s="29">
        <v>150000.26699999999</v>
      </c>
      <c r="D74" s="28"/>
      <c r="E74" s="28" t="str">
        <f t="shared" si="2"/>
        <v>Jun</v>
      </c>
    </row>
    <row r="75" spans="1:5" x14ac:dyDescent="0.3">
      <c r="A75" s="22" t="s">
        <v>78</v>
      </c>
      <c r="B75" s="28" t="s">
        <v>79</v>
      </c>
      <c r="C75" s="29">
        <v>999999.94800000009</v>
      </c>
      <c r="D75" s="28"/>
      <c r="E75" s="28" t="str">
        <f t="shared" si="2"/>
        <v>Jun</v>
      </c>
    </row>
    <row r="76" spans="1:5" x14ac:dyDescent="0.3">
      <c r="A76" s="22" t="s">
        <v>87</v>
      </c>
      <c r="B76" s="28" t="s">
        <v>79</v>
      </c>
      <c r="C76" s="29">
        <v>150000.26699999999</v>
      </c>
      <c r="D76" s="28"/>
      <c r="E76" s="28" t="str">
        <f t="shared" si="2"/>
        <v>Jun</v>
      </c>
    </row>
    <row r="77" spans="1:5" x14ac:dyDescent="0.3">
      <c r="A77" s="22" t="s">
        <v>78</v>
      </c>
      <c r="B77" s="28" t="s">
        <v>79</v>
      </c>
      <c r="C77" s="29">
        <v>999999.94800000009</v>
      </c>
      <c r="D77" s="28"/>
      <c r="E77" s="28" t="str">
        <f t="shared" si="2"/>
        <v>Jun</v>
      </c>
    </row>
    <row r="78" spans="1:5" x14ac:dyDescent="0.3">
      <c r="A78" s="22" t="s">
        <v>87</v>
      </c>
      <c r="B78" s="28" t="s">
        <v>107</v>
      </c>
      <c r="C78" s="29">
        <v>533226</v>
      </c>
      <c r="D78" s="28"/>
      <c r="E78" s="28" t="str">
        <f t="shared" si="2"/>
        <v>Aug</v>
      </c>
    </row>
    <row r="79" spans="1:5" x14ac:dyDescent="0.3">
      <c r="A79" s="22" t="s">
        <v>78</v>
      </c>
      <c r="B79" s="28" t="s">
        <v>107</v>
      </c>
      <c r="C79" s="29">
        <v>1066452</v>
      </c>
      <c r="D79" s="28"/>
      <c r="E79" s="28" t="str">
        <f t="shared" si="2"/>
        <v>Aug</v>
      </c>
    </row>
    <row r="80" spans="1:5" x14ac:dyDescent="0.3">
      <c r="A80" s="22" t="s">
        <v>87</v>
      </c>
      <c r="B80" s="28" t="s">
        <v>108</v>
      </c>
      <c r="C80" s="29">
        <v>195000</v>
      </c>
      <c r="D80" s="28"/>
      <c r="E80" s="28" t="str">
        <f t="shared" si="2"/>
        <v>Aug</v>
      </c>
    </row>
    <row r="81" spans="1:5" x14ac:dyDescent="0.3">
      <c r="A81" s="22" t="s">
        <v>78</v>
      </c>
      <c r="B81" s="28" t="s">
        <v>108</v>
      </c>
      <c r="C81" s="29">
        <v>1560000</v>
      </c>
      <c r="D81" s="28"/>
      <c r="E81" s="28" t="str">
        <f t="shared" si="2"/>
        <v>Aug</v>
      </c>
    </row>
    <row r="82" spans="1:5" x14ac:dyDescent="0.3">
      <c r="A82" s="22" t="s">
        <v>87</v>
      </c>
      <c r="B82" s="28" t="s">
        <v>109</v>
      </c>
      <c r="C82" s="29">
        <v>220000</v>
      </c>
      <c r="D82" s="28"/>
      <c r="E82" s="28" t="str">
        <f t="shared" si="2"/>
        <v>Aug</v>
      </c>
    </row>
    <row r="83" spans="1:5" x14ac:dyDescent="0.3">
      <c r="A83" s="22" t="s">
        <v>78</v>
      </c>
      <c r="B83" s="28" t="s">
        <v>109</v>
      </c>
      <c r="C83" s="29">
        <v>500000</v>
      </c>
      <c r="D83" s="28"/>
      <c r="E83" s="28" t="str">
        <f t="shared" si="2"/>
        <v>Aug</v>
      </c>
    </row>
    <row r="84" spans="1:5" x14ac:dyDescent="0.3">
      <c r="A84" s="22" t="s">
        <v>87</v>
      </c>
      <c r="B84" s="28" t="s">
        <v>107</v>
      </c>
      <c r="C84" s="29">
        <v>450012.25000000006</v>
      </c>
      <c r="D84" s="28"/>
      <c r="E84" s="28" t="str">
        <f t="shared" si="2"/>
        <v>Aug</v>
      </c>
    </row>
    <row r="85" spans="1:5" x14ac:dyDescent="0.3">
      <c r="A85" s="22" t="s">
        <v>78</v>
      </c>
      <c r="B85" s="28" t="s">
        <v>107</v>
      </c>
      <c r="C85" s="29">
        <v>1124995.55</v>
      </c>
      <c r="D85" s="28"/>
      <c r="E85" s="28" t="str">
        <f t="shared" si="2"/>
        <v>Aug</v>
      </c>
    </row>
    <row r="86" spans="1:5" x14ac:dyDescent="0.3">
      <c r="A86" s="22" t="s">
        <v>87</v>
      </c>
      <c r="B86" s="28" t="s">
        <v>107</v>
      </c>
      <c r="C86" s="29">
        <v>300031.55000000005</v>
      </c>
      <c r="D86" s="28"/>
      <c r="E86" s="28" t="str">
        <f t="shared" si="2"/>
        <v>Aug</v>
      </c>
    </row>
    <row r="87" spans="1:5" x14ac:dyDescent="0.3">
      <c r="A87" s="22" t="s">
        <v>78</v>
      </c>
      <c r="B87" s="28" t="s">
        <v>107</v>
      </c>
      <c r="C87" s="29">
        <v>749973.65</v>
      </c>
      <c r="D87" s="28"/>
      <c r="E87" s="28" t="str">
        <f t="shared" si="2"/>
        <v>Aug</v>
      </c>
    </row>
    <row r="88" spans="1:5" x14ac:dyDescent="0.3">
      <c r="A88" s="22" t="s">
        <v>87</v>
      </c>
      <c r="B88" s="28" t="s">
        <v>101</v>
      </c>
      <c r="C88" s="29">
        <v>125000</v>
      </c>
      <c r="D88" s="28"/>
      <c r="E88" s="28" t="str">
        <f t="shared" si="2"/>
        <v>Aug</v>
      </c>
    </row>
    <row r="89" spans="1:5" x14ac:dyDescent="0.3">
      <c r="A89" s="22" t="s">
        <v>78</v>
      </c>
      <c r="B89" s="28" t="s">
        <v>101</v>
      </c>
      <c r="C89" s="29">
        <v>1000000</v>
      </c>
      <c r="D89" s="28"/>
      <c r="E89" s="28" t="str">
        <f t="shared" si="2"/>
        <v>Aug</v>
      </c>
    </row>
    <row r="90" spans="1:5" x14ac:dyDescent="0.3">
      <c r="A90" s="22" t="s">
        <v>87</v>
      </c>
      <c r="B90" s="28" t="s">
        <v>101</v>
      </c>
      <c r="C90" s="29">
        <v>195000</v>
      </c>
      <c r="D90" s="28"/>
      <c r="E90" s="28" t="str">
        <f t="shared" si="2"/>
        <v>Aug</v>
      </c>
    </row>
    <row r="91" spans="1:5" x14ac:dyDescent="0.3">
      <c r="A91" s="22" t="s">
        <v>78</v>
      </c>
      <c r="B91" s="28" t="s">
        <v>101</v>
      </c>
      <c r="C91" s="29">
        <v>1560000</v>
      </c>
      <c r="D91" s="28"/>
      <c r="E91" s="28" t="str">
        <f t="shared" si="2"/>
        <v>Aug</v>
      </c>
    </row>
    <row r="92" spans="1:5" x14ac:dyDescent="0.3">
      <c r="A92" s="22" t="s">
        <v>78</v>
      </c>
      <c r="B92" s="28" t="s">
        <v>110</v>
      </c>
      <c r="C92" s="29">
        <v>783333</v>
      </c>
      <c r="D92" s="28"/>
      <c r="E92" s="28" t="str">
        <f t="shared" si="2"/>
        <v>Aug</v>
      </c>
    </row>
    <row r="93" spans="1:5" x14ac:dyDescent="0.3">
      <c r="A93" s="22" t="s">
        <v>87</v>
      </c>
      <c r="B93" s="28" t="s">
        <v>111</v>
      </c>
      <c r="C93" s="29">
        <v>34999.916499999999</v>
      </c>
      <c r="D93" s="28"/>
      <c r="E93" s="28" t="str">
        <f t="shared" si="2"/>
        <v>Aug</v>
      </c>
    </row>
    <row r="94" spans="1:5" x14ac:dyDescent="0.3">
      <c r="A94" s="22" t="s">
        <v>87</v>
      </c>
      <c r="B94" s="28" t="s">
        <v>112</v>
      </c>
      <c r="C94" s="29">
        <v>-200000</v>
      </c>
      <c r="D94" s="28"/>
      <c r="E94" s="28" t="str">
        <f t="shared" si="2"/>
        <v>Aug</v>
      </c>
    </row>
    <row r="95" spans="1:5" x14ac:dyDescent="0.3">
      <c r="A95" s="22" t="s">
        <v>78</v>
      </c>
      <c r="B95" s="28" t="s">
        <v>112</v>
      </c>
      <c r="C95" s="29">
        <v>-1333333</v>
      </c>
      <c r="D95" s="28"/>
      <c r="E95" s="28" t="str">
        <f t="shared" si="2"/>
        <v>Aug</v>
      </c>
    </row>
    <row r="96" spans="1:5" x14ac:dyDescent="0.3">
      <c r="A96" s="22" t="s">
        <v>87</v>
      </c>
      <c r="B96" s="28" t="s">
        <v>112</v>
      </c>
      <c r="C96" s="29">
        <v>-200000</v>
      </c>
      <c r="D96" s="28"/>
      <c r="E96" s="28" t="str">
        <f t="shared" si="2"/>
        <v>Aug</v>
      </c>
    </row>
    <row r="97" spans="1:5" x14ac:dyDescent="0.3">
      <c r="A97" s="22" t="s">
        <v>78</v>
      </c>
      <c r="B97" s="28" t="s">
        <v>112</v>
      </c>
      <c r="C97" s="29">
        <v>-1333333</v>
      </c>
      <c r="D97" s="28"/>
      <c r="E97" s="28" t="str">
        <f t="shared" si="2"/>
        <v>Aug</v>
      </c>
    </row>
    <row r="98" spans="1:5" x14ac:dyDescent="0.3">
      <c r="A98" s="22" t="s">
        <v>87</v>
      </c>
      <c r="B98" s="28" t="s">
        <v>112</v>
      </c>
      <c r="C98" s="29">
        <v>-150000</v>
      </c>
      <c r="D98" s="28"/>
      <c r="E98" s="28" t="str">
        <f t="shared" si="2"/>
        <v>Aug</v>
      </c>
    </row>
    <row r="99" spans="1:5" x14ac:dyDescent="0.3">
      <c r="A99" s="22" t="s">
        <v>78</v>
      </c>
      <c r="B99" s="28" t="s">
        <v>112</v>
      </c>
      <c r="C99" s="29">
        <v>-1000000</v>
      </c>
      <c r="D99" s="28"/>
      <c r="E99" s="28" t="str">
        <f t="shared" si="2"/>
        <v>Aug</v>
      </c>
    </row>
    <row r="100" spans="1:5" x14ac:dyDescent="0.3">
      <c r="A100" s="22" t="s">
        <v>78</v>
      </c>
      <c r="B100" s="28" t="s">
        <v>107</v>
      </c>
      <c r="C100" s="29">
        <v>1499999.9125000001</v>
      </c>
      <c r="D100" s="28"/>
      <c r="E100" s="28" t="str">
        <f t="shared" si="2"/>
        <v>Aug</v>
      </c>
    </row>
    <row r="101" spans="1:5" x14ac:dyDescent="0.3">
      <c r="A101" s="22" t="s">
        <v>78</v>
      </c>
      <c r="B101" s="28" t="s">
        <v>112</v>
      </c>
      <c r="C101" s="29">
        <v>1500024.42</v>
      </c>
      <c r="D101" s="28"/>
      <c r="E101" s="28" t="str">
        <f t="shared" si="2"/>
        <v>Aug</v>
      </c>
    </row>
    <row r="102" spans="1:5" x14ac:dyDescent="0.3">
      <c r="A102" s="22" t="s">
        <v>78</v>
      </c>
      <c r="B102" s="28" t="s">
        <v>112</v>
      </c>
      <c r="C102" s="29">
        <v>4500002.79</v>
      </c>
      <c r="D102" s="28"/>
      <c r="E102" s="28" t="str">
        <f t="shared" si="2"/>
        <v>Aug</v>
      </c>
    </row>
    <row r="103" spans="1:5" x14ac:dyDescent="0.3">
      <c r="A103" s="22" t="s">
        <v>78</v>
      </c>
      <c r="B103" s="28" t="s">
        <v>112</v>
      </c>
      <c r="C103" s="29">
        <v>4500002.79</v>
      </c>
      <c r="D103" s="28"/>
      <c r="E103" s="28" t="str">
        <f t="shared" si="2"/>
        <v>Aug</v>
      </c>
    </row>
    <row r="104" spans="1:5" x14ac:dyDescent="0.3">
      <c r="A104" s="22" t="s">
        <v>78</v>
      </c>
      <c r="B104" s="28" t="s">
        <v>112</v>
      </c>
      <c r="C104" s="29">
        <v>4500002.79</v>
      </c>
      <c r="D104" s="28"/>
      <c r="E104" s="28" t="str">
        <f t="shared" si="2"/>
        <v>Aug</v>
      </c>
    </row>
    <row r="105" spans="1:5" x14ac:dyDescent="0.3">
      <c r="A105" s="22" t="s">
        <v>78</v>
      </c>
      <c r="B105" s="28" t="s">
        <v>112</v>
      </c>
      <c r="C105" s="29">
        <v>2999978.37</v>
      </c>
      <c r="D105" s="28"/>
      <c r="E105" s="28" t="str">
        <f t="shared" si="2"/>
        <v>Aug</v>
      </c>
    </row>
    <row r="106" spans="1:5" x14ac:dyDescent="0.3">
      <c r="A106" s="22" t="s">
        <v>78</v>
      </c>
      <c r="B106" s="28" t="s">
        <v>113</v>
      </c>
      <c r="C106" s="29">
        <v>1230000</v>
      </c>
      <c r="D106" s="28"/>
      <c r="E106" s="28" t="str">
        <f t="shared" si="2"/>
        <v>Sep</v>
      </c>
    </row>
    <row r="107" spans="1:5" x14ac:dyDescent="0.3">
      <c r="A107" s="22" t="s">
        <v>78</v>
      </c>
      <c r="B107" s="28" t="s">
        <v>114</v>
      </c>
      <c r="C107" s="29">
        <v>-666667</v>
      </c>
      <c r="D107" s="28"/>
      <c r="E107" s="28" t="str">
        <f t="shared" si="2"/>
        <v>Sep</v>
      </c>
    </row>
    <row r="108" spans="1:5" x14ac:dyDescent="0.3">
      <c r="A108" s="22" t="s">
        <v>78</v>
      </c>
      <c r="B108" s="28" t="s">
        <v>113</v>
      </c>
      <c r="C108" s="29">
        <v>1833333</v>
      </c>
      <c r="D108" s="28"/>
      <c r="E108" s="28" t="str">
        <f t="shared" si="2"/>
        <v>Sep</v>
      </c>
    </row>
    <row r="109" spans="1:5" x14ac:dyDescent="0.3">
      <c r="A109" s="22" t="s">
        <v>78</v>
      </c>
      <c r="B109" s="28" t="s">
        <v>115</v>
      </c>
      <c r="C109" s="29">
        <v>3800000</v>
      </c>
      <c r="D109" s="28"/>
      <c r="E109" s="28" t="str">
        <f t="shared" si="2"/>
        <v>Sep</v>
      </c>
    </row>
    <row r="110" spans="1:5" x14ac:dyDescent="0.3">
      <c r="A110" s="22" t="s">
        <v>78</v>
      </c>
      <c r="B110" s="28" t="s">
        <v>116</v>
      </c>
      <c r="C110" s="29">
        <v>1066452</v>
      </c>
      <c r="D110" s="28"/>
      <c r="E110" s="28" t="str">
        <f t="shared" si="2"/>
        <v>Sep</v>
      </c>
    </row>
    <row r="111" spans="1:5" x14ac:dyDescent="0.3">
      <c r="A111" s="22" t="s">
        <v>78</v>
      </c>
      <c r="B111" s="28" t="s">
        <v>113</v>
      </c>
      <c r="C111" s="29">
        <v>661736.85</v>
      </c>
      <c r="D111" s="28"/>
      <c r="E111" s="28" t="str">
        <f t="shared" si="2"/>
        <v>Sep</v>
      </c>
    </row>
    <row r="112" spans="1:5" x14ac:dyDescent="0.3">
      <c r="A112" s="22" t="s">
        <v>78</v>
      </c>
      <c r="B112" s="28" t="s">
        <v>117</v>
      </c>
      <c r="C112" s="29">
        <v>750000</v>
      </c>
      <c r="D112" s="28"/>
      <c r="E112" s="28" t="str">
        <f t="shared" si="2"/>
        <v>Sep</v>
      </c>
    </row>
    <row r="113" spans="1:5" x14ac:dyDescent="0.3">
      <c r="A113" s="22" t="s">
        <v>78</v>
      </c>
      <c r="B113" s="28" t="s">
        <v>118</v>
      </c>
      <c r="C113" s="29">
        <v>600000</v>
      </c>
      <c r="D113" s="28"/>
      <c r="E113" s="28" t="str">
        <f t="shared" si="2"/>
        <v>Sep</v>
      </c>
    </row>
    <row r="114" spans="1:5" x14ac:dyDescent="0.3">
      <c r="A114" s="22" t="s">
        <v>78</v>
      </c>
      <c r="B114" s="28" t="s">
        <v>119</v>
      </c>
      <c r="C114" s="29">
        <v>1350900</v>
      </c>
      <c r="D114" s="28"/>
      <c r="E114" s="28" t="str">
        <f t="shared" si="2"/>
        <v>Sep</v>
      </c>
    </row>
    <row r="115" spans="1:5" x14ac:dyDescent="0.3">
      <c r="A115" s="22" t="s">
        <v>78</v>
      </c>
      <c r="B115" s="28" t="s">
        <v>113</v>
      </c>
      <c r="C115" s="29">
        <v>1000000</v>
      </c>
      <c r="D115" s="28"/>
      <c r="E115" s="28" t="str">
        <f t="shared" si="2"/>
        <v>Sep</v>
      </c>
    </row>
    <row r="116" spans="1:5" x14ac:dyDescent="0.3">
      <c r="A116" s="22" t="s">
        <v>78</v>
      </c>
      <c r="B116" s="28" t="s">
        <v>120</v>
      </c>
      <c r="C116" s="29">
        <v>2400000</v>
      </c>
      <c r="D116" s="28"/>
      <c r="E116" s="28" t="str">
        <f t="shared" si="2"/>
        <v>Sep</v>
      </c>
    </row>
    <row r="117" spans="1:5" x14ac:dyDescent="0.3">
      <c r="A117" s="22" t="s">
        <v>78</v>
      </c>
      <c r="B117" s="28" t="s">
        <v>118</v>
      </c>
      <c r="C117" s="29">
        <v>1080000</v>
      </c>
      <c r="D117" s="28"/>
      <c r="E117" s="28" t="str">
        <f t="shared" si="2"/>
        <v>Sep</v>
      </c>
    </row>
    <row r="118" spans="1:5" x14ac:dyDescent="0.3">
      <c r="A118" s="22" t="s">
        <v>78</v>
      </c>
      <c r="B118" s="28" t="s">
        <v>121</v>
      </c>
      <c r="C118" s="29">
        <v>32715.607500000158</v>
      </c>
      <c r="D118" s="28"/>
      <c r="E118" s="28" t="str">
        <f t="shared" si="2"/>
        <v>Sep</v>
      </c>
    </row>
    <row r="119" spans="1:5" x14ac:dyDescent="0.3">
      <c r="A119" s="22" t="s">
        <v>78</v>
      </c>
      <c r="B119" s="28" t="s">
        <v>114</v>
      </c>
      <c r="C119" s="29">
        <v>-1500024.42</v>
      </c>
      <c r="D119" s="28"/>
      <c r="E119" s="28" t="str">
        <f t="shared" si="2"/>
        <v>Sep</v>
      </c>
    </row>
    <row r="120" spans="1:5" x14ac:dyDescent="0.3">
      <c r="A120" s="22" t="s">
        <v>78</v>
      </c>
      <c r="B120" s="28" t="s">
        <v>121</v>
      </c>
      <c r="C120" s="29">
        <v>1525780.4800000002</v>
      </c>
      <c r="D120" s="28"/>
      <c r="E120" s="28" t="str">
        <f t="shared" si="2"/>
        <v>Sep</v>
      </c>
    </row>
    <row r="121" spans="1:5" x14ac:dyDescent="0.3">
      <c r="A121" s="22" t="s">
        <v>78</v>
      </c>
      <c r="B121" s="28" t="s">
        <v>121</v>
      </c>
      <c r="C121" s="29">
        <v>77266.970000000671</v>
      </c>
      <c r="D121" s="28"/>
      <c r="E121" s="28" t="str">
        <f t="shared" si="2"/>
        <v>Sep</v>
      </c>
    </row>
    <row r="122" spans="1:5" x14ac:dyDescent="0.3">
      <c r="A122" s="22" t="s">
        <v>78</v>
      </c>
      <c r="B122" s="28" t="s">
        <v>121</v>
      </c>
      <c r="C122" s="29">
        <v>433768.80000000075</v>
      </c>
      <c r="D122" s="28"/>
      <c r="E122" s="28" t="str">
        <f t="shared" si="2"/>
        <v>Sep</v>
      </c>
    </row>
    <row r="123" spans="1:5" x14ac:dyDescent="0.3">
      <c r="A123" s="22" t="s">
        <v>78</v>
      </c>
      <c r="B123" s="28" t="s">
        <v>121</v>
      </c>
      <c r="C123" s="29">
        <v>433768.80000000075</v>
      </c>
      <c r="D123" s="28"/>
      <c r="E123" s="28" t="str">
        <f t="shared" si="2"/>
        <v>Sep</v>
      </c>
    </row>
    <row r="124" spans="1:5" x14ac:dyDescent="0.3">
      <c r="A124" s="22" t="s">
        <v>78</v>
      </c>
      <c r="B124" s="28" t="s">
        <v>121</v>
      </c>
      <c r="C124" s="29">
        <v>1700152.4800000004</v>
      </c>
      <c r="D124" s="28"/>
      <c r="E124" s="28" t="str">
        <f t="shared" si="2"/>
        <v>Sep</v>
      </c>
    </row>
    <row r="125" spans="1:5" x14ac:dyDescent="0.3">
      <c r="A125" s="22" t="s">
        <v>78</v>
      </c>
      <c r="B125" s="28" t="s">
        <v>121</v>
      </c>
      <c r="C125" s="29">
        <v>77266.970000000671</v>
      </c>
      <c r="D125" s="28"/>
      <c r="E125" s="28" t="str">
        <f t="shared" si="2"/>
        <v>Sep</v>
      </c>
    </row>
    <row r="126" spans="1:5" x14ac:dyDescent="0.3">
      <c r="A126" s="22" t="s">
        <v>78</v>
      </c>
      <c r="B126" s="28" t="s">
        <v>122</v>
      </c>
      <c r="C126" s="29">
        <v>3000000.51</v>
      </c>
      <c r="D126" s="28"/>
      <c r="E126" s="28" t="str">
        <f t="shared" si="2"/>
        <v>Sep</v>
      </c>
    </row>
    <row r="127" spans="1:5" x14ac:dyDescent="0.3">
      <c r="A127" s="22" t="s">
        <v>78</v>
      </c>
      <c r="B127" s="28" t="s">
        <v>121</v>
      </c>
      <c r="C127" s="29">
        <v>77266.970000000671</v>
      </c>
      <c r="D127" s="28"/>
      <c r="E127" s="28" t="str">
        <f t="shared" si="2"/>
        <v>Sep</v>
      </c>
    </row>
    <row r="128" spans="1:5" x14ac:dyDescent="0.3">
      <c r="A128" s="22" t="s">
        <v>78</v>
      </c>
      <c r="B128" s="28" t="s">
        <v>121</v>
      </c>
      <c r="C128" s="29">
        <v>51510.910000000149</v>
      </c>
      <c r="D128" s="28"/>
      <c r="E128" s="28" t="str">
        <f t="shared" si="2"/>
        <v>Sep</v>
      </c>
    </row>
    <row r="129" spans="1:5" x14ac:dyDescent="0.3">
      <c r="A129" s="22" t="s">
        <v>78</v>
      </c>
      <c r="B129" s="28" t="s">
        <v>114</v>
      </c>
      <c r="C129" s="29">
        <v>-1499999.9220000003</v>
      </c>
      <c r="D129" s="28"/>
      <c r="E129" s="28" t="str">
        <f t="shared" si="2"/>
        <v>Sep</v>
      </c>
    </row>
    <row r="130" spans="1:5" x14ac:dyDescent="0.3">
      <c r="A130" s="22" t="s">
        <v>78</v>
      </c>
      <c r="B130" s="28" t="s">
        <v>121</v>
      </c>
      <c r="C130" s="29">
        <v>1565065.4208000002</v>
      </c>
      <c r="D130" s="28"/>
      <c r="E130" s="28" t="str">
        <f t="shared" si="2"/>
        <v>Sep</v>
      </c>
    </row>
    <row r="131" spans="1:5" x14ac:dyDescent="0.3">
      <c r="A131" s="22" t="s">
        <v>78</v>
      </c>
      <c r="B131" s="28" t="s">
        <v>114</v>
      </c>
      <c r="C131" s="29">
        <v>-1499999.9220000003</v>
      </c>
      <c r="D131" s="28"/>
      <c r="E131" s="28" t="str">
        <f t="shared" ref="E131:E194" si="3">TEXT(B131,"mmm")</f>
        <v>Sep</v>
      </c>
    </row>
    <row r="132" spans="1:5" x14ac:dyDescent="0.3">
      <c r="A132" s="22" t="s">
        <v>78</v>
      </c>
      <c r="B132" s="28" t="s">
        <v>121</v>
      </c>
      <c r="C132" s="29">
        <v>1565065.4208000002</v>
      </c>
      <c r="D132" s="28"/>
      <c r="E132" s="28" t="str">
        <f t="shared" si="3"/>
        <v>Sep</v>
      </c>
    </row>
    <row r="133" spans="1:5" x14ac:dyDescent="0.3">
      <c r="A133" s="22" t="s">
        <v>78</v>
      </c>
      <c r="B133" s="28" t="s">
        <v>114</v>
      </c>
      <c r="C133" s="29">
        <v>-999999.94800000009</v>
      </c>
      <c r="D133" s="28"/>
      <c r="E133" s="28" t="str">
        <f t="shared" si="3"/>
        <v>Sep</v>
      </c>
    </row>
    <row r="134" spans="1:5" x14ac:dyDescent="0.3">
      <c r="A134" s="22" t="s">
        <v>78</v>
      </c>
      <c r="B134" s="28" t="s">
        <v>121</v>
      </c>
      <c r="C134" s="29">
        <v>1043376.9472000002</v>
      </c>
      <c r="D134" s="28"/>
      <c r="E134" s="28" t="str">
        <f t="shared" si="3"/>
        <v>Sep</v>
      </c>
    </row>
    <row r="135" spans="1:5" x14ac:dyDescent="0.3">
      <c r="A135" s="22" t="s">
        <v>78</v>
      </c>
      <c r="B135" s="28" t="s">
        <v>113</v>
      </c>
      <c r="C135" s="29">
        <v>1026200.8200000001</v>
      </c>
      <c r="D135" s="28"/>
      <c r="E135" s="28" t="str">
        <f t="shared" si="3"/>
        <v>Sep</v>
      </c>
    </row>
    <row r="136" spans="1:5" x14ac:dyDescent="0.3">
      <c r="A136" s="22" t="s">
        <v>78</v>
      </c>
      <c r="B136" s="28" t="s">
        <v>113</v>
      </c>
      <c r="C136" s="29">
        <v>4104803.2800000003</v>
      </c>
      <c r="D136" s="28"/>
      <c r="E136" s="28" t="str">
        <f t="shared" si="3"/>
        <v>Sep</v>
      </c>
    </row>
    <row r="137" spans="1:5" x14ac:dyDescent="0.3">
      <c r="A137" s="22" t="s">
        <v>78</v>
      </c>
      <c r="B137" s="28" t="s">
        <v>114</v>
      </c>
      <c r="C137" s="29">
        <v>-999999.94800000009</v>
      </c>
      <c r="D137" s="28"/>
      <c r="E137" s="28" t="str">
        <f t="shared" si="3"/>
        <v>Sep</v>
      </c>
    </row>
    <row r="138" spans="1:5" x14ac:dyDescent="0.3">
      <c r="A138" s="22" t="s">
        <v>78</v>
      </c>
      <c r="B138" s="28" t="s">
        <v>121</v>
      </c>
      <c r="C138" s="29">
        <v>1043376.9472000002</v>
      </c>
      <c r="D138" s="28"/>
      <c r="E138" s="28" t="str">
        <f t="shared" si="3"/>
        <v>Sep</v>
      </c>
    </row>
    <row r="139" spans="1:5" x14ac:dyDescent="0.3">
      <c r="A139" s="22" t="s">
        <v>78</v>
      </c>
      <c r="B139" s="28" t="s">
        <v>114</v>
      </c>
      <c r="C139" s="29">
        <v>-999999.94800000009</v>
      </c>
      <c r="D139" s="28"/>
      <c r="E139" s="28" t="str">
        <f t="shared" si="3"/>
        <v>Sep</v>
      </c>
    </row>
    <row r="140" spans="1:5" x14ac:dyDescent="0.3">
      <c r="A140" s="22" t="s">
        <v>78</v>
      </c>
      <c r="B140" s="28" t="s">
        <v>121</v>
      </c>
      <c r="C140" s="29">
        <v>1043376.9472000002</v>
      </c>
      <c r="D140" s="28"/>
      <c r="E140" s="28" t="str">
        <f t="shared" si="3"/>
        <v>Sep</v>
      </c>
    </row>
    <row r="141" spans="1:5" x14ac:dyDescent="0.3">
      <c r="A141" s="22" t="s">
        <v>78</v>
      </c>
      <c r="B141" s="28" t="s">
        <v>114</v>
      </c>
      <c r="C141" s="29">
        <v>-999999.94800000009</v>
      </c>
      <c r="D141" s="28"/>
      <c r="E141" s="28" t="str">
        <f t="shared" si="3"/>
        <v>Sep</v>
      </c>
    </row>
    <row r="142" spans="1:5" x14ac:dyDescent="0.3">
      <c r="A142" s="22" t="s">
        <v>78</v>
      </c>
      <c r="B142" s="28" t="s">
        <v>121</v>
      </c>
      <c r="C142" s="29">
        <v>1043376.9472000002</v>
      </c>
      <c r="D142" s="28"/>
      <c r="E142" s="28" t="str">
        <f t="shared" si="3"/>
        <v>Sep</v>
      </c>
    </row>
    <row r="143" spans="1:5" x14ac:dyDescent="0.3">
      <c r="A143" s="22" t="s">
        <v>78</v>
      </c>
      <c r="B143" s="28" t="s">
        <v>114</v>
      </c>
      <c r="C143" s="29">
        <v>-999999.94800000009</v>
      </c>
      <c r="D143" s="28"/>
      <c r="E143" s="28" t="str">
        <f t="shared" si="3"/>
        <v>Sep</v>
      </c>
    </row>
    <row r="144" spans="1:5" x14ac:dyDescent="0.3">
      <c r="A144" s="22" t="s">
        <v>78</v>
      </c>
      <c r="B144" s="28" t="s">
        <v>121</v>
      </c>
      <c r="C144" s="29">
        <v>1043376.9472000002</v>
      </c>
      <c r="D144" s="28"/>
      <c r="E144" s="28" t="str">
        <f t="shared" si="3"/>
        <v>Sep</v>
      </c>
    </row>
    <row r="145" spans="1:5" x14ac:dyDescent="0.3">
      <c r="A145" s="22" t="s">
        <v>78</v>
      </c>
      <c r="B145" s="28" t="s">
        <v>114</v>
      </c>
      <c r="C145" s="29">
        <v>-999999.94800000009</v>
      </c>
      <c r="D145" s="28"/>
      <c r="E145" s="28" t="str">
        <f t="shared" si="3"/>
        <v>Sep</v>
      </c>
    </row>
    <row r="146" spans="1:5" x14ac:dyDescent="0.3">
      <c r="A146" s="22" t="s">
        <v>78</v>
      </c>
      <c r="B146" s="28" t="s">
        <v>121</v>
      </c>
      <c r="C146" s="29">
        <v>1043376.9472000002</v>
      </c>
      <c r="D146" s="28"/>
      <c r="E146" s="28" t="str">
        <f t="shared" si="3"/>
        <v>Sep</v>
      </c>
    </row>
    <row r="147" spans="1:5" x14ac:dyDescent="0.3">
      <c r="A147" s="22" t="s">
        <v>78</v>
      </c>
      <c r="B147" s="28" t="s">
        <v>123</v>
      </c>
      <c r="C147" s="29">
        <v>1066452</v>
      </c>
      <c r="D147" s="28"/>
      <c r="E147" s="28" t="str">
        <f t="shared" si="3"/>
        <v>Oct</v>
      </c>
    </row>
    <row r="148" spans="1:5" x14ac:dyDescent="0.3">
      <c r="A148" s="22" t="s">
        <v>78</v>
      </c>
      <c r="B148" s="28" t="s">
        <v>124</v>
      </c>
      <c r="C148" s="29">
        <v>-165416.59999999998</v>
      </c>
      <c r="D148" s="28"/>
      <c r="E148" s="28" t="str">
        <f t="shared" si="3"/>
        <v>Oct</v>
      </c>
    </row>
    <row r="149" spans="1:5" x14ac:dyDescent="0.3">
      <c r="A149" s="22" t="s">
        <v>78</v>
      </c>
      <c r="B149" s="28" t="s">
        <v>125</v>
      </c>
      <c r="C149" s="29">
        <v>1341400</v>
      </c>
      <c r="D149" s="28"/>
      <c r="E149" s="28" t="str">
        <f t="shared" si="3"/>
        <v>Oct</v>
      </c>
    </row>
    <row r="150" spans="1:5" x14ac:dyDescent="0.3">
      <c r="A150" s="22" t="s">
        <v>87</v>
      </c>
      <c r="B150" s="28" t="s">
        <v>126</v>
      </c>
      <c r="C150" s="29">
        <v>199021.4</v>
      </c>
      <c r="D150" s="28"/>
      <c r="E150" s="28" t="str">
        <f t="shared" si="3"/>
        <v>Oct</v>
      </c>
    </row>
    <row r="151" spans="1:5" x14ac:dyDescent="0.3">
      <c r="A151" s="22" t="s">
        <v>78</v>
      </c>
      <c r="B151" s="28" t="s">
        <v>126</v>
      </c>
      <c r="C151" s="29">
        <v>497588.8</v>
      </c>
      <c r="D151" s="28"/>
      <c r="E151" s="28" t="str">
        <f t="shared" si="3"/>
        <v>Oct</v>
      </c>
    </row>
    <row r="152" spans="1:5" x14ac:dyDescent="0.3">
      <c r="A152" s="22" t="s">
        <v>78</v>
      </c>
      <c r="B152" s="28" t="s">
        <v>123</v>
      </c>
      <c r="C152" s="29">
        <v>400000</v>
      </c>
      <c r="D152" s="28"/>
      <c r="E152" s="28" t="str">
        <f t="shared" si="3"/>
        <v>Oct</v>
      </c>
    </row>
    <row r="153" spans="1:5" x14ac:dyDescent="0.3">
      <c r="A153" s="22" t="s">
        <v>87</v>
      </c>
      <c r="B153" s="28" t="s">
        <v>127</v>
      </c>
      <c r="C153" s="29">
        <v>81708.900000000009</v>
      </c>
      <c r="D153" s="28"/>
      <c r="E153" s="28" t="str">
        <f t="shared" si="3"/>
        <v>Oct</v>
      </c>
    </row>
    <row r="154" spans="1:5" x14ac:dyDescent="0.3">
      <c r="A154" s="22" t="s">
        <v>78</v>
      </c>
      <c r="B154" s="28" t="s">
        <v>127</v>
      </c>
      <c r="C154" s="29">
        <v>817548.9</v>
      </c>
      <c r="D154" s="28"/>
      <c r="E154" s="28" t="str">
        <f t="shared" si="3"/>
        <v>Oct</v>
      </c>
    </row>
    <row r="155" spans="1:5" x14ac:dyDescent="0.3">
      <c r="A155" s="22" t="s">
        <v>87</v>
      </c>
      <c r="B155" s="28" t="s">
        <v>128</v>
      </c>
      <c r="C155" s="29">
        <v>200000</v>
      </c>
      <c r="D155" s="28"/>
      <c r="E155" s="28" t="str">
        <f t="shared" si="3"/>
        <v>Oct</v>
      </c>
    </row>
    <row r="156" spans="1:5" x14ac:dyDescent="0.3">
      <c r="A156" s="22" t="s">
        <v>78</v>
      </c>
      <c r="B156" s="28" t="s">
        <v>128</v>
      </c>
      <c r="C156" s="29">
        <v>833333</v>
      </c>
      <c r="D156" s="28"/>
      <c r="E156" s="28" t="str">
        <f t="shared" si="3"/>
        <v>Oct</v>
      </c>
    </row>
    <row r="157" spans="1:5" x14ac:dyDescent="0.3">
      <c r="A157" s="22" t="s">
        <v>87</v>
      </c>
      <c r="B157" s="28" t="s">
        <v>128</v>
      </c>
      <c r="C157" s="29">
        <v>200000</v>
      </c>
      <c r="D157" s="28"/>
      <c r="E157" s="28" t="str">
        <f t="shared" si="3"/>
        <v>Oct</v>
      </c>
    </row>
    <row r="158" spans="1:5" x14ac:dyDescent="0.3">
      <c r="A158" s="22" t="s">
        <v>78</v>
      </c>
      <c r="B158" s="28" t="s">
        <v>128</v>
      </c>
      <c r="C158" s="29">
        <v>833333</v>
      </c>
      <c r="D158" s="28"/>
      <c r="E158" s="28" t="str">
        <f t="shared" si="3"/>
        <v>Oct</v>
      </c>
    </row>
    <row r="159" spans="1:5" x14ac:dyDescent="0.3">
      <c r="A159" s="22" t="s">
        <v>78</v>
      </c>
      <c r="B159" s="28" t="s">
        <v>129</v>
      </c>
      <c r="C159" s="29">
        <v>1230000</v>
      </c>
      <c r="D159" s="28"/>
      <c r="E159" s="28" t="str">
        <f t="shared" si="3"/>
        <v>Nov</v>
      </c>
    </row>
    <row r="160" spans="1:5" x14ac:dyDescent="0.3">
      <c r="A160" s="22" t="s">
        <v>78</v>
      </c>
      <c r="B160" s="28" t="s">
        <v>130</v>
      </c>
      <c r="C160" s="29">
        <v>1000000</v>
      </c>
      <c r="D160" s="28"/>
      <c r="E160" s="28" t="str">
        <f t="shared" si="3"/>
        <v>Nov</v>
      </c>
    </row>
    <row r="161" spans="1:5" x14ac:dyDescent="0.3">
      <c r="A161" s="22" t="s">
        <v>78</v>
      </c>
      <c r="B161" s="28" t="s">
        <v>131</v>
      </c>
      <c r="C161" s="29">
        <v>666666</v>
      </c>
      <c r="D161" s="28"/>
      <c r="E161" s="28" t="str">
        <f t="shared" si="3"/>
        <v>Nov</v>
      </c>
    </row>
    <row r="162" spans="1:5" x14ac:dyDescent="0.3">
      <c r="A162" s="22" t="s">
        <v>78</v>
      </c>
      <c r="B162" s="28" t="s">
        <v>132</v>
      </c>
      <c r="C162" s="29">
        <v>1833333</v>
      </c>
      <c r="D162" s="28"/>
      <c r="E162" s="28" t="str">
        <f t="shared" si="3"/>
        <v>Nov</v>
      </c>
    </row>
    <row r="163" spans="1:5" x14ac:dyDescent="0.3">
      <c r="A163" s="22" t="s">
        <v>78</v>
      </c>
      <c r="B163" s="28" t="s">
        <v>133</v>
      </c>
      <c r="C163" s="29">
        <v>1066452</v>
      </c>
      <c r="D163" s="28"/>
      <c r="E163" s="28" t="str">
        <f t="shared" si="3"/>
        <v>Nov</v>
      </c>
    </row>
    <row r="164" spans="1:5" x14ac:dyDescent="0.3">
      <c r="A164" s="22" t="s">
        <v>87</v>
      </c>
      <c r="B164" s="28" t="s">
        <v>132</v>
      </c>
      <c r="C164" s="29">
        <v>87110</v>
      </c>
      <c r="D164" s="28"/>
      <c r="E164" s="28" t="str">
        <f t="shared" si="3"/>
        <v>Nov</v>
      </c>
    </row>
    <row r="165" spans="1:5" x14ac:dyDescent="0.3">
      <c r="A165" s="22" t="s">
        <v>78</v>
      </c>
      <c r="B165" s="28" t="s">
        <v>134</v>
      </c>
      <c r="C165" s="29">
        <v>1127401.0999999999</v>
      </c>
      <c r="D165" s="28"/>
      <c r="E165" s="28" t="str">
        <f t="shared" si="3"/>
        <v>Nov</v>
      </c>
    </row>
    <row r="166" spans="1:5" x14ac:dyDescent="0.3">
      <c r="A166" s="22" t="s">
        <v>78</v>
      </c>
      <c r="B166" s="28" t="s">
        <v>134</v>
      </c>
      <c r="C166" s="29">
        <v>751577.29999999993</v>
      </c>
      <c r="D166" s="28"/>
      <c r="E166" s="28" t="str">
        <f t="shared" si="3"/>
        <v>Nov</v>
      </c>
    </row>
    <row r="167" spans="1:5" x14ac:dyDescent="0.3">
      <c r="A167" s="22" t="s">
        <v>78</v>
      </c>
      <c r="B167" s="28" t="s">
        <v>135</v>
      </c>
      <c r="C167" s="29">
        <v>1500000</v>
      </c>
      <c r="D167" s="28"/>
      <c r="E167" s="28" t="str">
        <f t="shared" si="3"/>
        <v>Nov</v>
      </c>
    </row>
    <row r="168" spans="1:5" x14ac:dyDescent="0.3">
      <c r="A168" s="22" t="s">
        <v>87</v>
      </c>
      <c r="B168" s="28" t="s">
        <v>135</v>
      </c>
      <c r="C168" s="29">
        <v>220000</v>
      </c>
      <c r="D168" s="28"/>
      <c r="E168" s="28" t="str">
        <f t="shared" si="3"/>
        <v>Nov</v>
      </c>
    </row>
    <row r="169" spans="1:5" x14ac:dyDescent="0.3">
      <c r="A169" s="22" t="s">
        <v>78</v>
      </c>
      <c r="B169" s="28" t="s">
        <v>135</v>
      </c>
      <c r="C169" s="29">
        <v>660000</v>
      </c>
      <c r="D169" s="28"/>
      <c r="E169" s="28" t="str">
        <f t="shared" si="3"/>
        <v>Nov</v>
      </c>
    </row>
    <row r="170" spans="1:5" x14ac:dyDescent="0.3">
      <c r="A170" s="22" t="s">
        <v>78</v>
      </c>
      <c r="B170" s="28" t="s">
        <v>136</v>
      </c>
      <c r="C170" s="29">
        <v>796682.6</v>
      </c>
      <c r="D170" s="28"/>
      <c r="E170" s="28" t="str">
        <f t="shared" si="3"/>
        <v>Nov</v>
      </c>
    </row>
    <row r="171" spans="1:5" x14ac:dyDescent="0.3">
      <c r="A171" s="22" t="s">
        <v>78</v>
      </c>
      <c r="B171" s="28" t="s">
        <v>137</v>
      </c>
      <c r="C171" s="29">
        <v>4499973.3</v>
      </c>
      <c r="D171" s="28"/>
      <c r="E171" s="28" t="str">
        <f t="shared" si="3"/>
        <v>Nov</v>
      </c>
    </row>
    <row r="172" spans="1:5" x14ac:dyDescent="0.3">
      <c r="A172" s="22" t="s">
        <v>87</v>
      </c>
      <c r="B172" s="28" t="s">
        <v>137</v>
      </c>
      <c r="C172" s="29">
        <v>150020.19999999998</v>
      </c>
      <c r="D172" s="28"/>
      <c r="E172" s="28" t="str">
        <f t="shared" si="3"/>
        <v>Nov</v>
      </c>
    </row>
    <row r="173" spans="1:5" x14ac:dyDescent="0.3">
      <c r="A173" s="22" t="s">
        <v>78</v>
      </c>
      <c r="B173" s="28" t="s">
        <v>137</v>
      </c>
      <c r="C173" s="29">
        <v>4500000.0139999995</v>
      </c>
      <c r="D173" s="28"/>
      <c r="E173" s="28" t="str">
        <f t="shared" si="3"/>
        <v>Nov</v>
      </c>
    </row>
    <row r="174" spans="1:5" x14ac:dyDescent="0.3">
      <c r="A174" s="22" t="s">
        <v>78</v>
      </c>
      <c r="B174" s="28" t="s">
        <v>132</v>
      </c>
      <c r="C174" s="29">
        <v>1349950</v>
      </c>
      <c r="D174" s="28"/>
      <c r="E174" s="28" t="str">
        <f t="shared" si="3"/>
        <v>Nov</v>
      </c>
    </row>
    <row r="175" spans="1:5" x14ac:dyDescent="0.3">
      <c r="A175" s="22" t="s">
        <v>78</v>
      </c>
      <c r="B175" s="28" t="s">
        <v>137</v>
      </c>
      <c r="C175" s="29">
        <v>500000</v>
      </c>
      <c r="D175" s="28"/>
      <c r="E175" s="28" t="str">
        <f t="shared" si="3"/>
        <v>Nov</v>
      </c>
    </row>
    <row r="176" spans="1:5" x14ac:dyDescent="0.3">
      <c r="A176" s="22" t="s">
        <v>78</v>
      </c>
      <c r="B176" s="28" t="s">
        <v>138</v>
      </c>
      <c r="C176" s="29">
        <v>1875000</v>
      </c>
      <c r="D176" s="28"/>
      <c r="E176" s="28" t="str">
        <f t="shared" si="3"/>
        <v>Nov</v>
      </c>
    </row>
    <row r="177" spans="1:5" x14ac:dyDescent="0.3">
      <c r="A177" s="22" t="s">
        <v>78</v>
      </c>
      <c r="B177" s="28" t="s">
        <v>137</v>
      </c>
      <c r="C177" s="29">
        <v>950000</v>
      </c>
      <c r="D177" s="28"/>
      <c r="E177" s="28" t="str">
        <f t="shared" si="3"/>
        <v>Nov</v>
      </c>
    </row>
    <row r="178" spans="1:5" x14ac:dyDescent="0.3">
      <c r="A178" s="22" t="s">
        <v>78</v>
      </c>
      <c r="B178" s="28" t="s">
        <v>132</v>
      </c>
      <c r="C178" s="29">
        <v>500760</v>
      </c>
      <c r="D178" s="28"/>
      <c r="E178" s="28" t="str">
        <f t="shared" si="3"/>
        <v>Nov</v>
      </c>
    </row>
    <row r="179" spans="1:5" x14ac:dyDescent="0.3">
      <c r="A179" s="22" t="s">
        <v>87</v>
      </c>
      <c r="B179" s="28" t="s">
        <v>139</v>
      </c>
      <c r="C179" s="29">
        <v>380000</v>
      </c>
      <c r="D179" s="28"/>
      <c r="E179" s="28" t="str">
        <f t="shared" si="3"/>
        <v>Dec</v>
      </c>
    </row>
    <row r="180" spans="1:5" x14ac:dyDescent="0.3">
      <c r="A180" s="22" t="s">
        <v>78</v>
      </c>
      <c r="B180" s="28" t="s">
        <v>139</v>
      </c>
      <c r="C180" s="29">
        <v>1266666</v>
      </c>
      <c r="D180" s="28"/>
      <c r="E180" s="28" t="str">
        <f t="shared" si="3"/>
        <v>Dec</v>
      </c>
    </row>
    <row r="181" spans="1:5" x14ac:dyDescent="0.3">
      <c r="A181" s="22" t="s">
        <v>87</v>
      </c>
      <c r="B181" s="28" t="s">
        <v>140</v>
      </c>
      <c r="C181" s="29">
        <v>183334</v>
      </c>
      <c r="D181" s="28"/>
      <c r="E181" s="28" t="str">
        <f t="shared" si="3"/>
        <v>Dec</v>
      </c>
    </row>
    <row r="182" spans="1:5" x14ac:dyDescent="0.3">
      <c r="A182" s="22" t="s">
        <v>78</v>
      </c>
      <c r="B182" s="28" t="s">
        <v>140</v>
      </c>
      <c r="C182" s="29">
        <v>1833334</v>
      </c>
      <c r="D182" s="28"/>
      <c r="E182" s="28" t="str">
        <f t="shared" si="3"/>
        <v>Dec</v>
      </c>
    </row>
    <row r="183" spans="1:5" x14ac:dyDescent="0.3">
      <c r="A183" s="22" t="s">
        <v>87</v>
      </c>
      <c r="B183" s="28" t="s">
        <v>141</v>
      </c>
      <c r="C183" s="29">
        <v>113334</v>
      </c>
      <c r="D183" s="28"/>
      <c r="E183" s="28" t="str">
        <f t="shared" si="3"/>
        <v>Dec</v>
      </c>
    </row>
    <row r="184" spans="1:5" x14ac:dyDescent="0.3">
      <c r="A184" s="22" t="s">
        <v>78</v>
      </c>
      <c r="B184" s="28" t="s">
        <v>141</v>
      </c>
      <c r="C184" s="29">
        <v>1133334</v>
      </c>
      <c r="D184" s="28"/>
      <c r="E184" s="28" t="str">
        <f t="shared" si="3"/>
        <v>Dec</v>
      </c>
    </row>
    <row r="185" spans="1:5" x14ac:dyDescent="0.3">
      <c r="A185" s="22" t="s">
        <v>78</v>
      </c>
      <c r="B185" s="28" t="s">
        <v>142</v>
      </c>
      <c r="C185" s="29">
        <v>2132904</v>
      </c>
      <c r="D185" s="28"/>
      <c r="E185" s="28" t="str">
        <f t="shared" si="3"/>
        <v>Dec</v>
      </c>
    </row>
    <row r="186" spans="1:5" x14ac:dyDescent="0.3">
      <c r="A186" s="22" t="s">
        <v>87</v>
      </c>
      <c r="B186" s="28" t="s">
        <v>143</v>
      </c>
      <c r="C186" s="29">
        <v>-122400</v>
      </c>
      <c r="D186" s="28"/>
      <c r="E186" s="28" t="str">
        <f t="shared" si="3"/>
        <v>Dec</v>
      </c>
    </row>
    <row r="187" spans="1:5" x14ac:dyDescent="0.3">
      <c r="A187" s="22" t="s">
        <v>78</v>
      </c>
      <c r="B187" s="28" t="s">
        <v>143</v>
      </c>
      <c r="C187" s="29">
        <v>-1200000</v>
      </c>
      <c r="D187" s="28"/>
      <c r="E187" s="28" t="str">
        <f t="shared" si="3"/>
        <v>Dec</v>
      </c>
    </row>
    <row r="188" spans="1:5" x14ac:dyDescent="0.3">
      <c r="A188" s="22" t="s">
        <v>87</v>
      </c>
      <c r="B188" s="28" t="s">
        <v>144</v>
      </c>
      <c r="C188" s="29">
        <v>0</v>
      </c>
      <c r="D188" s="28"/>
      <c r="E188" s="28" t="str">
        <f t="shared" si="3"/>
        <v>Dec</v>
      </c>
    </row>
    <row r="189" spans="1:5" x14ac:dyDescent="0.3">
      <c r="A189" s="22" t="s">
        <v>78</v>
      </c>
      <c r="B189" s="28" t="s">
        <v>144</v>
      </c>
      <c r="C189" s="29">
        <v>0</v>
      </c>
      <c r="D189" s="28"/>
      <c r="E189" s="28" t="str">
        <f t="shared" si="3"/>
        <v>Dec</v>
      </c>
    </row>
    <row r="190" spans="1:5" x14ac:dyDescent="0.3">
      <c r="A190" s="22" t="s">
        <v>87</v>
      </c>
      <c r="B190" s="28" t="s">
        <v>145</v>
      </c>
      <c r="C190" s="29">
        <v>150000</v>
      </c>
      <c r="D190" s="28"/>
      <c r="E190" s="28" t="str">
        <f t="shared" si="3"/>
        <v>Dec</v>
      </c>
    </row>
    <row r="191" spans="1:5" x14ac:dyDescent="0.3">
      <c r="A191" s="22" t="s">
        <v>78</v>
      </c>
      <c r="B191" s="28" t="s">
        <v>145</v>
      </c>
      <c r="C191" s="29">
        <v>1200000</v>
      </c>
      <c r="D191" s="28"/>
      <c r="E191" s="28" t="str">
        <f t="shared" si="3"/>
        <v>Dec</v>
      </c>
    </row>
    <row r="192" spans="1:5" x14ac:dyDescent="0.3">
      <c r="A192" s="22" t="s">
        <v>87</v>
      </c>
      <c r="B192" s="28" t="s">
        <v>146</v>
      </c>
      <c r="C192" s="29">
        <v>82721.599999999991</v>
      </c>
      <c r="D192" s="28"/>
      <c r="E192" s="28" t="str">
        <f t="shared" si="3"/>
        <v>Dec</v>
      </c>
    </row>
    <row r="193" spans="1:5" x14ac:dyDescent="0.3">
      <c r="A193" s="22" t="s">
        <v>87</v>
      </c>
      <c r="B193" s="28" t="s">
        <v>146</v>
      </c>
      <c r="C193" s="29">
        <v>82721.599999999991</v>
      </c>
      <c r="D193" s="28"/>
      <c r="E193" s="28" t="str">
        <f t="shared" si="3"/>
        <v>Dec</v>
      </c>
    </row>
    <row r="194" spans="1:5" x14ac:dyDescent="0.3">
      <c r="A194" s="22" t="s">
        <v>78</v>
      </c>
      <c r="B194" s="28" t="s">
        <v>146</v>
      </c>
      <c r="C194" s="29">
        <v>827759.2</v>
      </c>
      <c r="D194" s="28"/>
      <c r="E194" s="28" t="str">
        <f t="shared" si="3"/>
        <v>Dec</v>
      </c>
    </row>
    <row r="195" spans="1:5" x14ac:dyDescent="0.3">
      <c r="A195" s="22" t="s">
        <v>78</v>
      </c>
      <c r="B195" s="28" t="s">
        <v>146</v>
      </c>
      <c r="C195" s="29">
        <v>827759.2</v>
      </c>
      <c r="D195" s="28"/>
      <c r="E195" s="28" t="str">
        <f t="shared" ref="E195:E258" si="4">TEXT(B195,"mmm")</f>
        <v>Dec</v>
      </c>
    </row>
    <row r="196" spans="1:5" x14ac:dyDescent="0.3">
      <c r="A196" s="22" t="s">
        <v>78</v>
      </c>
      <c r="B196" s="28" t="s">
        <v>147</v>
      </c>
      <c r="C196" s="29">
        <v>833333</v>
      </c>
      <c r="D196" s="28"/>
      <c r="E196" s="28" t="str">
        <f t="shared" si="4"/>
        <v>Dec</v>
      </c>
    </row>
    <row r="197" spans="1:5" x14ac:dyDescent="0.3">
      <c r="A197" s="22" t="s">
        <v>78</v>
      </c>
      <c r="B197" s="28" t="s">
        <v>147</v>
      </c>
      <c r="C197" s="29">
        <v>833333</v>
      </c>
      <c r="D197" s="28"/>
      <c r="E197" s="28" t="str">
        <f t="shared" si="4"/>
        <v>Dec</v>
      </c>
    </row>
    <row r="198" spans="1:5" x14ac:dyDescent="0.3">
      <c r="A198" s="22" t="s">
        <v>87</v>
      </c>
      <c r="B198" s="28" t="s">
        <v>148</v>
      </c>
      <c r="C198" s="29">
        <v>360000</v>
      </c>
      <c r="D198" s="28"/>
      <c r="E198" s="28" t="str">
        <f t="shared" si="4"/>
        <v>Jan</v>
      </c>
    </row>
    <row r="199" spans="1:5" x14ac:dyDescent="0.3">
      <c r="A199" s="22" t="s">
        <v>78</v>
      </c>
      <c r="B199" s="28" t="s">
        <v>148</v>
      </c>
      <c r="C199" s="29">
        <v>1200000</v>
      </c>
      <c r="D199" s="28"/>
      <c r="E199" s="28" t="str">
        <f t="shared" si="4"/>
        <v>Jan</v>
      </c>
    </row>
    <row r="200" spans="1:5" x14ac:dyDescent="0.3">
      <c r="A200" s="22" t="s">
        <v>78</v>
      </c>
      <c r="B200" s="28" t="s">
        <v>149</v>
      </c>
      <c r="C200" s="29">
        <v>666667</v>
      </c>
      <c r="D200" s="28"/>
      <c r="E200" s="28" t="str">
        <f t="shared" si="4"/>
        <v>Jan</v>
      </c>
    </row>
    <row r="201" spans="1:5" x14ac:dyDescent="0.3">
      <c r="A201" s="22" t="s">
        <v>78</v>
      </c>
      <c r="B201" s="28" t="s">
        <v>150</v>
      </c>
      <c r="C201" s="29">
        <v>666667</v>
      </c>
      <c r="D201" s="28"/>
      <c r="E201" s="28" t="str">
        <f t="shared" si="4"/>
        <v>Jan</v>
      </c>
    </row>
    <row r="202" spans="1:5" x14ac:dyDescent="0.3">
      <c r="A202" s="22" t="s">
        <v>87</v>
      </c>
      <c r="B202" s="28" t="s">
        <v>151</v>
      </c>
      <c r="C202" s="29">
        <v>113333</v>
      </c>
      <c r="D202" s="28"/>
      <c r="E202" s="28" t="str">
        <f t="shared" si="4"/>
        <v>Jan</v>
      </c>
    </row>
    <row r="203" spans="1:5" x14ac:dyDescent="0.3">
      <c r="A203" s="22" t="s">
        <v>78</v>
      </c>
      <c r="B203" s="28" t="s">
        <v>151</v>
      </c>
      <c r="C203" s="29">
        <v>1133333</v>
      </c>
      <c r="D203" s="28"/>
      <c r="E203" s="28" t="str">
        <f t="shared" si="4"/>
        <v>Jan</v>
      </c>
    </row>
    <row r="204" spans="1:5" x14ac:dyDescent="0.3">
      <c r="A204" s="22" t="s">
        <v>78</v>
      </c>
      <c r="B204" s="28" t="s">
        <v>151</v>
      </c>
      <c r="C204" s="29">
        <v>1000000</v>
      </c>
      <c r="D204" s="28"/>
      <c r="E204" s="28" t="str">
        <f t="shared" si="4"/>
        <v>Jan</v>
      </c>
    </row>
    <row r="205" spans="1:5" x14ac:dyDescent="0.3">
      <c r="A205" s="22" t="s">
        <v>87</v>
      </c>
      <c r="B205" s="28" t="s">
        <v>150</v>
      </c>
      <c r="C205" s="29">
        <v>125000</v>
      </c>
      <c r="D205" s="28"/>
      <c r="E205" s="28" t="str">
        <f t="shared" si="4"/>
        <v>Jan</v>
      </c>
    </row>
    <row r="206" spans="1:5" x14ac:dyDescent="0.3">
      <c r="A206" s="22" t="s">
        <v>78</v>
      </c>
      <c r="B206" s="28" t="s">
        <v>150</v>
      </c>
      <c r="C206" s="29">
        <v>1000000</v>
      </c>
      <c r="D206" s="28"/>
      <c r="E206" s="28" t="str">
        <f t="shared" si="4"/>
        <v>Jan</v>
      </c>
    </row>
    <row r="207" spans="1:5" x14ac:dyDescent="0.3">
      <c r="A207" s="22" t="s">
        <v>78</v>
      </c>
      <c r="B207" s="28" t="s">
        <v>151</v>
      </c>
      <c r="C207" s="29">
        <v>1666667</v>
      </c>
      <c r="D207" s="28"/>
      <c r="E207" s="28" t="str">
        <f t="shared" si="4"/>
        <v>Jan</v>
      </c>
    </row>
    <row r="208" spans="1:5" x14ac:dyDescent="0.3">
      <c r="A208" s="22" t="s">
        <v>87</v>
      </c>
      <c r="B208" s="28" t="s">
        <v>152</v>
      </c>
      <c r="C208" s="29">
        <v>15941</v>
      </c>
      <c r="D208" s="28"/>
      <c r="E208" s="28" t="str">
        <f t="shared" si="4"/>
        <v>Jan</v>
      </c>
    </row>
    <row r="209" spans="1:5" x14ac:dyDescent="0.3">
      <c r="A209" s="22" t="s">
        <v>87</v>
      </c>
      <c r="B209" s="28" t="s">
        <v>153</v>
      </c>
      <c r="C209" s="29">
        <v>250000</v>
      </c>
      <c r="D209" s="28"/>
      <c r="E209" s="28" t="str">
        <f t="shared" si="4"/>
        <v>Jan</v>
      </c>
    </row>
    <row r="210" spans="1:5" x14ac:dyDescent="0.3">
      <c r="A210" s="22" t="s">
        <v>78</v>
      </c>
      <c r="B210" s="28" t="s">
        <v>153</v>
      </c>
      <c r="C210" s="29">
        <v>833333</v>
      </c>
      <c r="D210" s="28"/>
      <c r="E210" s="28" t="str">
        <f t="shared" si="4"/>
        <v>Jan</v>
      </c>
    </row>
    <row r="211" spans="1:5" x14ac:dyDescent="0.3">
      <c r="A211" s="22" t="s">
        <v>78</v>
      </c>
      <c r="B211" s="28" t="s">
        <v>152</v>
      </c>
      <c r="C211" s="29">
        <v>660000</v>
      </c>
      <c r="D211" s="28"/>
      <c r="E211" s="28" t="str">
        <f t="shared" si="4"/>
        <v>Jan</v>
      </c>
    </row>
    <row r="212" spans="1:5" x14ac:dyDescent="0.3">
      <c r="A212" s="22" t="s">
        <v>87</v>
      </c>
      <c r="B212" s="28" t="s">
        <v>154</v>
      </c>
      <c r="C212" s="29">
        <v>845400</v>
      </c>
      <c r="D212" s="28"/>
      <c r="E212" s="28" t="str">
        <f t="shared" si="4"/>
        <v>Jan</v>
      </c>
    </row>
    <row r="213" spans="1:5" x14ac:dyDescent="0.3">
      <c r="A213" s="22" t="s">
        <v>78</v>
      </c>
      <c r="B213" s="28" t="s">
        <v>154</v>
      </c>
      <c r="C213" s="29">
        <v>2113500</v>
      </c>
      <c r="D213" s="28"/>
      <c r="E213" s="28" t="str">
        <f t="shared" si="4"/>
        <v>Jan</v>
      </c>
    </row>
    <row r="214" spans="1:5" x14ac:dyDescent="0.3">
      <c r="A214" s="22" t="s">
        <v>78</v>
      </c>
      <c r="B214" s="28" t="s">
        <v>155</v>
      </c>
      <c r="C214" s="29">
        <v>496531.60000000003</v>
      </c>
      <c r="D214" s="28"/>
      <c r="E214" s="28" t="str">
        <f t="shared" si="4"/>
        <v>Jan</v>
      </c>
    </row>
    <row r="215" spans="1:5" x14ac:dyDescent="0.3">
      <c r="A215" s="22" t="s">
        <v>87</v>
      </c>
      <c r="B215" s="28" t="s">
        <v>156</v>
      </c>
      <c r="C215" s="29">
        <v>150000</v>
      </c>
      <c r="D215" s="28"/>
      <c r="E215" s="28" t="str">
        <f t="shared" si="4"/>
        <v>Feb</v>
      </c>
    </row>
    <row r="216" spans="1:5" x14ac:dyDescent="0.3">
      <c r="A216" s="22" t="s">
        <v>87</v>
      </c>
      <c r="B216" s="28" t="s">
        <v>157</v>
      </c>
      <c r="C216" s="29">
        <v>449790</v>
      </c>
      <c r="D216" s="28"/>
      <c r="E216" s="28" t="str">
        <f t="shared" si="4"/>
        <v>Feb</v>
      </c>
    </row>
    <row r="217" spans="1:5" x14ac:dyDescent="0.3">
      <c r="A217" s="22" t="s">
        <v>87</v>
      </c>
      <c r="B217" s="28" t="s">
        <v>158</v>
      </c>
      <c r="C217" s="29">
        <v>-449790</v>
      </c>
      <c r="D217" s="28"/>
      <c r="E217" s="28" t="str">
        <f t="shared" si="4"/>
        <v>Feb</v>
      </c>
    </row>
    <row r="218" spans="1:5" x14ac:dyDescent="0.3">
      <c r="A218" s="22" t="s">
        <v>87</v>
      </c>
      <c r="B218" s="28" t="s">
        <v>159</v>
      </c>
      <c r="C218" s="29">
        <v>350000</v>
      </c>
      <c r="D218" s="28"/>
      <c r="E218" s="28" t="str">
        <f t="shared" si="4"/>
        <v>Feb</v>
      </c>
    </row>
    <row r="219" spans="1:5" x14ac:dyDescent="0.3">
      <c r="A219" s="22" t="s">
        <v>87</v>
      </c>
      <c r="B219" s="28" t="s">
        <v>160</v>
      </c>
      <c r="C219" s="29">
        <v>650000</v>
      </c>
      <c r="D219" s="28"/>
      <c r="E219" s="28" t="str">
        <f t="shared" si="4"/>
        <v>Feb</v>
      </c>
    </row>
    <row r="220" spans="1:5" x14ac:dyDescent="0.3">
      <c r="A220" s="22" t="s">
        <v>78</v>
      </c>
      <c r="B220" s="28" t="s">
        <v>161</v>
      </c>
      <c r="C220" s="29">
        <v>1230000</v>
      </c>
      <c r="D220" s="28"/>
      <c r="E220" s="28" t="str">
        <f t="shared" si="4"/>
        <v>Feb</v>
      </c>
    </row>
    <row r="221" spans="1:5" x14ac:dyDescent="0.3">
      <c r="A221" s="22" t="s">
        <v>78</v>
      </c>
      <c r="B221" s="28" t="s">
        <v>162</v>
      </c>
      <c r="C221" s="29">
        <v>833334</v>
      </c>
      <c r="D221" s="28"/>
      <c r="E221" s="28" t="str">
        <f t="shared" si="4"/>
        <v>Feb</v>
      </c>
    </row>
    <row r="222" spans="1:5" x14ac:dyDescent="0.3">
      <c r="A222" s="22" t="s">
        <v>78</v>
      </c>
      <c r="B222" s="28" t="s">
        <v>163</v>
      </c>
      <c r="C222" s="29">
        <v>1266667</v>
      </c>
      <c r="D222" s="28"/>
      <c r="E222" s="28" t="str">
        <f t="shared" si="4"/>
        <v>Feb</v>
      </c>
    </row>
    <row r="223" spans="1:5" x14ac:dyDescent="0.3">
      <c r="A223" s="22" t="s">
        <v>78</v>
      </c>
      <c r="B223" s="28" t="s">
        <v>156</v>
      </c>
      <c r="C223" s="29">
        <v>500000</v>
      </c>
      <c r="D223" s="28"/>
      <c r="E223" s="28" t="str">
        <f t="shared" si="4"/>
        <v>Feb</v>
      </c>
    </row>
    <row r="224" spans="1:5" x14ac:dyDescent="0.3">
      <c r="A224" s="22" t="s">
        <v>78</v>
      </c>
      <c r="B224" s="28" t="s">
        <v>157</v>
      </c>
      <c r="C224" s="29">
        <v>1318350</v>
      </c>
      <c r="D224" s="28"/>
      <c r="E224" s="28" t="str">
        <f t="shared" si="4"/>
        <v>Feb</v>
      </c>
    </row>
    <row r="225" spans="1:5" x14ac:dyDescent="0.3">
      <c r="A225" s="22" t="s">
        <v>78</v>
      </c>
      <c r="B225" s="28" t="s">
        <v>158</v>
      </c>
      <c r="C225" s="29">
        <v>-1318350</v>
      </c>
      <c r="D225" s="28"/>
      <c r="E225" s="28" t="str">
        <f t="shared" si="4"/>
        <v>Feb</v>
      </c>
    </row>
    <row r="226" spans="1:5" x14ac:dyDescent="0.3">
      <c r="A226" s="22" t="s">
        <v>78</v>
      </c>
      <c r="B226" s="28" t="s">
        <v>156</v>
      </c>
      <c r="C226" s="29">
        <v>833333</v>
      </c>
      <c r="D226" s="28"/>
      <c r="E226" s="28" t="str">
        <f t="shared" si="4"/>
        <v>Feb</v>
      </c>
    </row>
    <row r="227" spans="1:5" x14ac:dyDescent="0.3">
      <c r="A227" s="22" t="s">
        <v>78</v>
      </c>
      <c r="B227" s="28" t="s">
        <v>164</v>
      </c>
      <c r="C227" s="29">
        <v>3192750</v>
      </c>
      <c r="D227" s="28"/>
      <c r="E227" s="28" t="str">
        <f t="shared" si="4"/>
        <v>Feb</v>
      </c>
    </row>
    <row r="228" spans="1:5" x14ac:dyDescent="0.3">
      <c r="A228" s="22" t="s">
        <v>78</v>
      </c>
      <c r="B228" s="28" t="s">
        <v>159</v>
      </c>
      <c r="C228" s="29">
        <v>1166666</v>
      </c>
      <c r="D228" s="28"/>
      <c r="E228" s="28" t="str">
        <f t="shared" si="4"/>
        <v>Feb</v>
      </c>
    </row>
    <row r="229" spans="1:5" x14ac:dyDescent="0.3">
      <c r="A229" s="22" t="s">
        <v>78</v>
      </c>
      <c r="B229" s="28" t="s">
        <v>160</v>
      </c>
      <c r="C229" s="29">
        <v>1950000</v>
      </c>
      <c r="D229" s="28"/>
      <c r="E229" s="28" t="str">
        <f t="shared" si="4"/>
        <v>Feb</v>
      </c>
    </row>
    <row r="230" spans="1:5" x14ac:dyDescent="0.3">
      <c r="A230" s="22" t="s">
        <v>78</v>
      </c>
      <c r="B230" s="28" t="s">
        <v>165</v>
      </c>
      <c r="C230" s="29">
        <v>1500000</v>
      </c>
      <c r="D230" s="28"/>
      <c r="E230" s="28" t="str">
        <f t="shared" si="4"/>
        <v>Mar</v>
      </c>
    </row>
    <row r="231" spans="1:5" x14ac:dyDescent="0.3">
      <c r="A231" s="22" t="s">
        <v>78</v>
      </c>
      <c r="B231" s="28" t="s">
        <v>166</v>
      </c>
      <c r="C231" s="29">
        <v>1893680</v>
      </c>
      <c r="D231" s="28"/>
      <c r="E231" s="28" t="str">
        <f t="shared" si="4"/>
        <v>Mar</v>
      </c>
    </row>
    <row r="232" spans="1:5" x14ac:dyDescent="0.3">
      <c r="A232" s="22" t="s">
        <v>87</v>
      </c>
      <c r="B232" s="28" t="s">
        <v>167</v>
      </c>
      <c r="C232" s="29">
        <v>113333</v>
      </c>
      <c r="D232" s="28"/>
      <c r="E232" s="28" t="str">
        <f t="shared" si="4"/>
        <v>Mar</v>
      </c>
    </row>
    <row r="233" spans="1:5" x14ac:dyDescent="0.3">
      <c r="A233" s="22" t="s">
        <v>78</v>
      </c>
      <c r="B233" s="28" t="s">
        <v>167</v>
      </c>
      <c r="C233" s="29">
        <v>1133333</v>
      </c>
      <c r="D233" s="28"/>
      <c r="E233" s="28" t="str">
        <f t="shared" si="4"/>
        <v>Mar</v>
      </c>
    </row>
    <row r="234" spans="1:5" x14ac:dyDescent="0.3">
      <c r="A234" s="22" t="s">
        <v>87</v>
      </c>
      <c r="B234" s="28" t="s">
        <v>167</v>
      </c>
      <c r="C234" s="29">
        <v>86666</v>
      </c>
      <c r="D234" s="28"/>
      <c r="E234" s="28" t="str">
        <f t="shared" si="4"/>
        <v>Mar</v>
      </c>
    </row>
    <row r="235" spans="1:5" x14ac:dyDescent="0.3">
      <c r="A235" s="22" t="s">
        <v>78</v>
      </c>
      <c r="B235" s="28" t="s">
        <v>167</v>
      </c>
      <c r="C235" s="29">
        <v>866666</v>
      </c>
      <c r="D235" s="28"/>
      <c r="E235" s="28" t="str">
        <f t="shared" si="4"/>
        <v>Mar</v>
      </c>
    </row>
    <row r="236" spans="1:5" x14ac:dyDescent="0.3">
      <c r="A236" s="22" t="s">
        <v>78</v>
      </c>
      <c r="B236" s="28" t="s">
        <v>168</v>
      </c>
      <c r="C236" s="29">
        <v>500000</v>
      </c>
      <c r="D236" s="28"/>
      <c r="E236" s="28" t="str">
        <f t="shared" si="4"/>
        <v>Mar</v>
      </c>
    </row>
    <row r="237" spans="1:5" x14ac:dyDescent="0.3">
      <c r="A237" s="22" t="s">
        <v>78</v>
      </c>
      <c r="B237" s="28" t="s">
        <v>168</v>
      </c>
      <c r="C237" s="29">
        <v>531455.93999999994</v>
      </c>
      <c r="D237" s="28"/>
      <c r="E237" s="28" t="str">
        <f t="shared" si="4"/>
        <v>Mar</v>
      </c>
    </row>
    <row r="238" spans="1:5" x14ac:dyDescent="0.3">
      <c r="A238" s="22" t="s">
        <v>78</v>
      </c>
      <c r="B238" s="28" t="s">
        <v>165</v>
      </c>
      <c r="C238" s="29">
        <v>600000</v>
      </c>
      <c r="D238" s="28"/>
      <c r="E238" s="28" t="str">
        <f t="shared" si="4"/>
        <v>Mar</v>
      </c>
    </row>
    <row r="239" spans="1:5" x14ac:dyDescent="0.3">
      <c r="A239" s="22" t="s">
        <v>78</v>
      </c>
      <c r="B239" s="28" t="s">
        <v>166</v>
      </c>
      <c r="C239" s="29">
        <v>2340000</v>
      </c>
      <c r="D239" s="28"/>
      <c r="E239" s="28" t="str">
        <f t="shared" si="4"/>
        <v>Mar</v>
      </c>
    </row>
    <row r="240" spans="1:5" x14ac:dyDescent="0.3">
      <c r="A240" s="22" t="s">
        <v>87</v>
      </c>
      <c r="B240" s="28" t="s">
        <v>168</v>
      </c>
      <c r="C240" s="29">
        <v>-125000</v>
      </c>
      <c r="D240" s="28"/>
      <c r="E240" s="28" t="str">
        <f t="shared" si="4"/>
        <v>Mar</v>
      </c>
    </row>
    <row r="241" spans="1:5" x14ac:dyDescent="0.3">
      <c r="A241" s="22" t="s">
        <v>87</v>
      </c>
      <c r="B241" s="28" t="s">
        <v>165</v>
      </c>
      <c r="C241" s="29">
        <v>125000</v>
      </c>
      <c r="D241" s="28"/>
      <c r="E241" s="28" t="str">
        <f t="shared" si="4"/>
        <v>Mar</v>
      </c>
    </row>
    <row r="242" spans="1:5" x14ac:dyDescent="0.3">
      <c r="A242" s="22" t="s">
        <v>78</v>
      </c>
      <c r="B242" s="28" t="s">
        <v>168</v>
      </c>
      <c r="C242" s="29">
        <v>-1000000</v>
      </c>
      <c r="D242" s="28"/>
      <c r="E242" s="28" t="str">
        <f t="shared" si="4"/>
        <v>Mar</v>
      </c>
    </row>
    <row r="243" spans="1:5" x14ac:dyDescent="0.3">
      <c r="A243" s="22" t="s">
        <v>78</v>
      </c>
      <c r="B243" s="28" t="s">
        <v>165</v>
      </c>
      <c r="C243" s="29">
        <v>1000000</v>
      </c>
      <c r="D243" s="28"/>
      <c r="E243" s="28" t="str">
        <f t="shared" si="4"/>
        <v>Mar</v>
      </c>
    </row>
    <row r="244" spans="1:5" x14ac:dyDescent="0.3">
      <c r="A244" s="22" t="s">
        <v>78</v>
      </c>
      <c r="B244" s="28" t="s">
        <v>169</v>
      </c>
      <c r="C244" s="29">
        <v>833334</v>
      </c>
      <c r="D244" s="28"/>
      <c r="E244" s="28" t="str">
        <f t="shared" si="4"/>
        <v>Mar</v>
      </c>
    </row>
    <row r="245" spans="1:5" x14ac:dyDescent="0.3">
      <c r="A245" s="22" t="s">
        <v>78</v>
      </c>
      <c r="B245" s="28" t="s">
        <v>165</v>
      </c>
      <c r="C245" s="29">
        <v>3625000</v>
      </c>
      <c r="D245" s="28"/>
      <c r="E245" s="28" t="str">
        <f t="shared" si="4"/>
        <v>Mar</v>
      </c>
    </row>
    <row r="246" spans="1:5" x14ac:dyDescent="0.3">
      <c r="A246" s="22" t="s">
        <v>78</v>
      </c>
      <c r="B246" s="28" t="s">
        <v>165</v>
      </c>
      <c r="C246" s="29">
        <v>1266667</v>
      </c>
      <c r="D246" s="28"/>
      <c r="E246" s="28" t="str">
        <f t="shared" si="4"/>
        <v>Mar</v>
      </c>
    </row>
    <row r="247" spans="1:5" x14ac:dyDescent="0.3">
      <c r="A247" s="22" t="s">
        <v>78</v>
      </c>
      <c r="B247" s="28" t="s">
        <v>165</v>
      </c>
      <c r="C247" s="29">
        <v>600000</v>
      </c>
      <c r="D247" s="28"/>
      <c r="E247" s="28" t="str">
        <f t="shared" si="4"/>
        <v>Mar</v>
      </c>
    </row>
    <row r="248" spans="1:5" x14ac:dyDescent="0.3">
      <c r="A248" s="22" t="s">
        <v>78</v>
      </c>
      <c r="B248" s="28" t="s">
        <v>165</v>
      </c>
      <c r="C248" s="29">
        <v>600000</v>
      </c>
      <c r="D248" s="28"/>
      <c r="E248" s="28" t="str">
        <f t="shared" si="4"/>
        <v>Mar</v>
      </c>
    </row>
    <row r="249" spans="1:5" x14ac:dyDescent="0.3">
      <c r="A249" s="22" t="s">
        <v>78</v>
      </c>
      <c r="B249" s="28" t="s">
        <v>165</v>
      </c>
      <c r="C249" s="29">
        <v>347437.5</v>
      </c>
      <c r="D249" s="28"/>
      <c r="E249" s="28" t="str">
        <f t="shared" si="4"/>
        <v>Mar</v>
      </c>
    </row>
    <row r="250" spans="1:5" x14ac:dyDescent="0.3">
      <c r="A250" s="22" t="s">
        <v>78</v>
      </c>
      <c r="B250" s="28" t="s">
        <v>165</v>
      </c>
      <c r="C250" s="29">
        <v>1625000</v>
      </c>
      <c r="D250" s="28"/>
      <c r="E250" s="28" t="str">
        <f t="shared" si="4"/>
        <v>Mar</v>
      </c>
    </row>
    <row r="251" spans="1:5" x14ac:dyDescent="0.3">
      <c r="A251" s="22" t="s">
        <v>87</v>
      </c>
      <c r="B251" s="28" t="s">
        <v>165</v>
      </c>
      <c r="C251" s="29">
        <v>110999</v>
      </c>
      <c r="D251" s="28"/>
      <c r="E251" s="28" t="str">
        <f t="shared" si="4"/>
        <v>Mar</v>
      </c>
    </row>
    <row r="252" spans="1:5" x14ac:dyDescent="0.3">
      <c r="A252" s="22" t="s">
        <v>87</v>
      </c>
      <c r="B252" s="28" t="s">
        <v>165</v>
      </c>
      <c r="C252" s="29">
        <v>74408</v>
      </c>
      <c r="D252" s="28"/>
      <c r="E252" s="28" t="str">
        <f t="shared" si="4"/>
        <v>Mar</v>
      </c>
    </row>
    <row r="253" spans="1:5" x14ac:dyDescent="0.3">
      <c r="A253" s="22" t="s">
        <v>87</v>
      </c>
      <c r="B253" s="28" t="s">
        <v>165</v>
      </c>
      <c r="C253" s="29">
        <v>12952</v>
      </c>
      <c r="D253" s="28"/>
      <c r="E253" s="28" t="str">
        <f t="shared" si="4"/>
        <v>Mar</v>
      </c>
    </row>
    <row r="254" spans="1:5" x14ac:dyDescent="0.3">
      <c r="A254" s="22" t="s">
        <v>87</v>
      </c>
      <c r="B254" s="28" t="s">
        <v>165</v>
      </c>
      <c r="C254" s="29">
        <v>3452</v>
      </c>
      <c r="D254" s="28"/>
      <c r="E254" s="28" t="str">
        <f t="shared" si="4"/>
        <v>Mar</v>
      </c>
    </row>
    <row r="255" spans="1:5" x14ac:dyDescent="0.3">
      <c r="A255" s="22" t="s">
        <v>87</v>
      </c>
      <c r="B255" s="28" t="s">
        <v>165</v>
      </c>
      <c r="C255" s="29">
        <v>89025.75</v>
      </c>
      <c r="D255" s="28"/>
      <c r="E255" s="28" t="str">
        <f t="shared" si="4"/>
        <v>Mar</v>
      </c>
    </row>
    <row r="256" spans="1:5" x14ac:dyDescent="0.3">
      <c r="A256" s="22" t="s">
        <v>87</v>
      </c>
      <c r="B256" s="28" t="s">
        <v>165</v>
      </c>
      <c r="C256" s="29">
        <v>81844</v>
      </c>
      <c r="D256" s="28"/>
      <c r="E256" s="28" t="str">
        <f t="shared" si="4"/>
        <v>Mar</v>
      </c>
    </row>
    <row r="257" spans="1:5" x14ac:dyDescent="0.3">
      <c r="A257" s="22" t="s">
        <v>87</v>
      </c>
      <c r="B257" s="28" t="s">
        <v>165</v>
      </c>
      <c r="C257" s="29">
        <v>8148</v>
      </c>
      <c r="D257" s="28"/>
      <c r="E257" s="28" t="str">
        <f t="shared" si="4"/>
        <v>Mar</v>
      </c>
    </row>
    <row r="258" spans="1:5" x14ac:dyDescent="0.3">
      <c r="A258" s="22" t="s">
        <v>87</v>
      </c>
      <c r="B258" s="28" t="s">
        <v>165</v>
      </c>
      <c r="C258" s="29">
        <v>34743.75</v>
      </c>
      <c r="D258" s="28"/>
      <c r="E258" s="28" t="str">
        <f t="shared" si="4"/>
        <v>Mar</v>
      </c>
    </row>
    <row r="259" spans="1:5" x14ac:dyDescent="0.3">
      <c r="A259" s="22" t="s">
        <v>87</v>
      </c>
      <c r="B259" s="28" t="s">
        <v>165</v>
      </c>
      <c r="C259" s="29">
        <v>15073</v>
      </c>
      <c r="D259" s="28"/>
      <c r="E259" s="28" t="str">
        <f t="shared" ref="E259:E260" si="5">TEXT(B259,"mmm")</f>
        <v>Mar</v>
      </c>
    </row>
    <row r="260" spans="1:5" x14ac:dyDescent="0.3">
      <c r="A260" s="22" t="s">
        <v>87</v>
      </c>
      <c r="B260" s="28" t="s">
        <v>165</v>
      </c>
      <c r="C260" s="29">
        <v>99002</v>
      </c>
      <c r="D260" s="28"/>
      <c r="E260" s="28" t="str">
        <f t="shared" si="5"/>
        <v>Mar</v>
      </c>
    </row>
  </sheetData>
  <conditionalFormatting sqref="A2:E260">
    <cfRule type="expression" dxfId="0" priority="1">
      <formula>#REF!="zTotal"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7CC93-EB57-44B6-8BF1-205543F99E15}">
  <dimension ref="A1:H16"/>
  <sheetViews>
    <sheetView workbookViewId="0">
      <selection activeCell="B4" sqref="B4"/>
    </sheetView>
  </sheetViews>
  <sheetFormatPr defaultRowHeight="14.4" x14ac:dyDescent="0.3"/>
  <cols>
    <col min="1" max="1" width="68.88671875" bestFit="1" customWidth="1"/>
    <col min="2" max="2" width="11" bestFit="1" customWidth="1"/>
    <col min="7" max="7" width="11" bestFit="1" customWidth="1"/>
  </cols>
  <sheetData>
    <row r="1" spans="1:8" x14ac:dyDescent="0.3">
      <c r="A1" s="34" t="s">
        <v>170</v>
      </c>
    </row>
    <row r="2" spans="1:8" x14ac:dyDescent="0.3">
      <c r="A2" s="35"/>
    </row>
    <row r="3" spans="1:8" x14ac:dyDescent="0.3">
      <c r="A3" s="36" t="s">
        <v>3</v>
      </c>
      <c r="B3" s="37" t="s">
        <v>171</v>
      </c>
      <c r="G3" s="37" t="s">
        <v>171</v>
      </c>
      <c r="H3" s="36" t="s">
        <v>3</v>
      </c>
    </row>
    <row r="4" spans="1:8" x14ac:dyDescent="0.3">
      <c r="A4" s="38" t="s">
        <v>172</v>
      </c>
      <c r="B4" s="39" t="str">
        <f>INDEX(G4:G16,MATCH(A4,H4:H16,0))</f>
        <v xml:space="preserve">391006  </v>
      </c>
      <c r="G4" s="40" t="s">
        <v>173</v>
      </c>
      <c r="H4" s="38" t="s">
        <v>174</v>
      </c>
    </row>
    <row r="5" spans="1:8" x14ac:dyDescent="0.3">
      <c r="A5" s="38" t="s">
        <v>175</v>
      </c>
      <c r="B5" s="39" t="str">
        <f t="shared" ref="B5:B9" si="0">INDEX(G5:G17,MATCH(A5,H5:H17,0))</f>
        <v>392128</v>
      </c>
      <c r="G5" s="40" t="s">
        <v>176</v>
      </c>
      <c r="H5" s="38" t="s">
        <v>177</v>
      </c>
    </row>
    <row r="6" spans="1:8" x14ac:dyDescent="0.3">
      <c r="A6" s="38" t="s">
        <v>178</v>
      </c>
      <c r="B6" s="39" t="str">
        <f t="shared" si="0"/>
        <v>549457</v>
      </c>
      <c r="G6" s="40" t="s">
        <v>179</v>
      </c>
      <c r="H6" s="38" t="s">
        <v>180</v>
      </c>
    </row>
    <row r="7" spans="1:8" x14ac:dyDescent="0.3">
      <c r="A7" s="38" t="s">
        <v>181</v>
      </c>
      <c r="B7" s="39" t="str">
        <f t="shared" si="0"/>
        <v>580622</v>
      </c>
      <c r="G7" s="40" t="s">
        <v>182</v>
      </c>
      <c r="H7" s="38" t="s">
        <v>172</v>
      </c>
    </row>
    <row r="8" spans="1:8" x14ac:dyDescent="0.3">
      <c r="A8" s="38" t="s">
        <v>183</v>
      </c>
      <c r="B8" s="39" t="str">
        <f t="shared" si="0"/>
        <v>602693</v>
      </c>
      <c r="G8" s="40" t="s">
        <v>184</v>
      </c>
      <c r="H8" s="38" t="s">
        <v>175</v>
      </c>
    </row>
    <row r="9" spans="1:8" x14ac:dyDescent="0.3">
      <c r="A9" s="38" t="s">
        <v>185</v>
      </c>
      <c r="B9" s="39" t="str">
        <f t="shared" si="0"/>
        <v xml:space="preserve">611810   </v>
      </c>
      <c r="G9" s="40" t="s">
        <v>186</v>
      </c>
      <c r="H9" s="38" t="s">
        <v>178</v>
      </c>
    </row>
    <row r="10" spans="1:8" x14ac:dyDescent="0.3">
      <c r="A10" s="40"/>
      <c r="B10" s="40"/>
      <c r="G10" s="40" t="s">
        <v>187</v>
      </c>
      <c r="H10" s="38" t="s">
        <v>181</v>
      </c>
    </row>
    <row r="11" spans="1:8" x14ac:dyDescent="0.3">
      <c r="A11" s="40"/>
      <c r="B11" s="40"/>
      <c r="G11" s="40" t="s">
        <v>188</v>
      </c>
      <c r="H11" s="38" t="s">
        <v>183</v>
      </c>
    </row>
    <row r="12" spans="1:8" x14ac:dyDescent="0.3">
      <c r="A12" s="40"/>
      <c r="B12" s="40"/>
      <c r="G12" s="40" t="s">
        <v>189</v>
      </c>
      <c r="H12" s="38" t="s">
        <v>185</v>
      </c>
    </row>
    <row r="13" spans="1:8" x14ac:dyDescent="0.3">
      <c r="A13" s="40"/>
      <c r="B13" s="40"/>
      <c r="G13" s="40" t="s">
        <v>190</v>
      </c>
      <c r="H13" s="38" t="s">
        <v>191</v>
      </c>
    </row>
    <row r="14" spans="1:8" x14ac:dyDescent="0.3">
      <c r="A14" s="40"/>
      <c r="B14" s="40"/>
      <c r="G14" s="40" t="s">
        <v>192</v>
      </c>
      <c r="H14" s="38" t="s">
        <v>193</v>
      </c>
    </row>
    <row r="15" spans="1:8" x14ac:dyDescent="0.3">
      <c r="A15" s="40"/>
      <c r="B15" s="40"/>
      <c r="G15" s="40" t="s">
        <v>194</v>
      </c>
      <c r="H15" s="38" t="s">
        <v>195</v>
      </c>
    </row>
    <row r="16" spans="1:8" x14ac:dyDescent="0.3">
      <c r="A16" s="40"/>
      <c r="B16" s="40"/>
      <c r="G16" s="40" t="s">
        <v>196</v>
      </c>
      <c r="H16" s="38" t="s">
        <v>197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36D64-3428-4DE5-BE53-0D74069CA2FB}">
  <dimension ref="B1:G23"/>
  <sheetViews>
    <sheetView workbookViewId="0">
      <selection activeCell="H22" sqref="H22"/>
    </sheetView>
  </sheetViews>
  <sheetFormatPr defaultRowHeight="14.4" x14ac:dyDescent="0.3"/>
  <cols>
    <col min="4" max="4" width="10.5546875" bestFit="1" customWidth="1"/>
    <col min="6" max="6" width="11.88671875" bestFit="1" customWidth="1"/>
    <col min="7" max="7" width="10.5546875" bestFit="1" customWidth="1"/>
  </cols>
  <sheetData>
    <row r="1" spans="2:7" x14ac:dyDescent="0.3">
      <c r="B1" s="41" t="s">
        <v>199</v>
      </c>
    </row>
    <row r="2" spans="2:7" x14ac:dyDescent="0.3">
      <c r="F2" s="41"/>
    </row>
    <row r="3" spans="2:7" x14ac:dyDescent="0.3">
      <c r="B3" s="42" t="s">
        <v>200</v>
      </c>
      <c r="C3" s="42" t="s">
        <v>201</v>
      </c>
      <c r="D3" s="42" t="s">
        <v>202</v>
      </c>
    </row>
    <row r="4" spans="2:7" x14ac:dyDescent="0.3">
      <c r="B4" s="43" t="s">
        <v>203</v>
      </c>
      <c r="C4" s="43">
        <v>91</v>
      </c>
      <c r="D4" s="44" t="str" cm="1">
        <f t="array" ref="D4">_xlfn.IFS(C4&gt;80,$G$5,AND(C4&lt;=79,C4&gt;=40),$G$6,C4&lt;40,$G$7)</f>
        <v>Outstanding</v>
      </c>
      <c r="F4" s="45" t="s">
        <v>204</v>
      </c>
      <c r="G4" s="45" t="s">
        <v>202</v>
      </c>
    </row>
    <row r="5" spans="2:7" x14ac:dyDescent="0.3">
      <c r="B5" s="43" t="s">
        <v>205</v>
      </c>
      <c r="C5" s="43">
        <v>89</v>
      </c>
      <c r="D5" s="44" t="str" cm="1">
        <f t="array" ref="D5">_xlfn.IFS(C5&gt;80,$G$5,AND(C5&lt;=79,C5&gt;=40),$G$6,C5&lt;40,$G$7)</f>
        <v>Outstanding</v>
      </c>
      <c r="F5" s="43" t="s">
        <v>206</v>
      </c>
      <c r="G5" s="43" t="s">
        <v>207</v>
      </c>
    </row>
    <row r="6" spans="2:7" x14ac:dyDescent="0.3">
      <c r="B6" s="43" t="s">
        <v>208</v>
      </c>
      <c r="C6" s="43">
        <v>58</v>
      </c>
      <c r="D6" s="44" t="str" cm="1">
        <f t="array" ref="D6">_xlfn.IFS(C6&gt;80,$G$5,AND(C6&lt;=79,C6&gt;=40),$G$6,C6&lt;40,$G$7)</f>
        <v>Good</v>
      </c>
      <c r="F6" s="43" t="s">
        <v>209</v>
      </c>
      <c r="G6" s="43" t="s">
        <v>210</v>
      </c>
    </row>
    <row r="7" spans="2:7" x14ac:dyDescent="0.3">
      <c r="B7" s="43" t="s">
        <v>211</v>
      </c>
      <c r="C7" s="43">
        <v>17</v>
      </c>
      <c r="D7" s="44" t="str" cm="1">
        <f t="array" ref="D7">_xlfn.IFS(C7&gt;80,$G$5,AND(C7&lt;=79,C7&gt;=40),$G$6,C7&lt;40,$G$7)</f>
        <v>Bad</v>
      </c>
      <c r="F7" s="43" t="s">
        <v>212</v>
      </c>
      <c r="G7" s="43" t="s">
        <v>213</v>
      </c>
    </row>
    <row r="8" spans="2:7" x14ac:dyDescent="0.3">
      <c r="B8" s="43" t="s">
        <v>214</v>
      </c>
      <c r="C8" s="43">
        <v>34</v>
      </c>
      <c r="D8" s="44" t="str" cm="1">
        <f t="array" ref="D8">_xlfn.IFS(C8&gt;80,$G$5,AND(C8&lt;=79,C8&gt;=40),$G$6,C8&lt;40,$G$7)</f>
        <v>Bad</v>
      </c>
    </row>
    <row r="9" spans="2:7" x14ac:dyDescent="0.3">
      <c r="B9" s="43" t="s">
        <v>191</v>
      </c>
      <c r="C9" s="43">
        <v>74</v>
      </c>
      <c r="D9" s="44" t="str" cm="1">
        <f t="array" ref="D9">_xlfn.IFS(C9&gt;80,$G$5,AND(C9&lt;=79,C9&gt;=40),$G$6,C9&lt;40,$G$7)</f>
        <v>Good</v>
      </c>
    </row>
    <row r="10" spans="2:7" x14ac:dyDescent="0.3">
      <c r="B10" s="43" t="s">
        <v>215</v>
      </c>
      <c r="C10" s="43">
        <v>18</v>
      </c>
      <c r="D10" s="44" t="str" cm="1">
        <f t="array" ref="D10">_xlfn.IFS(C10&gt;80,$G$5,AND(C10&lt;=79,C10&gt;=40),$G$6,C10&lt;40,$G$7)</f>
        <v>Bad</v>
      </c>
    </row>
    <row r="11" spans="2:7" x14ac:dyDescent="0.3">
      <c r="B11" s="43" t="s">
        <v>216</v>
      </c>
      <c r="C11" s="43">
        <v>37</v>
      </c>
      <c r="D11" s="44" t="str" cm="1">
        <f t="array" ref="D11">_xlfn.IFS(C11&gt;80,$G$5,AND(C11&lt;=79,C11&gt;=40),$G$6,C11&lt;40,$G$7)</f>
        <v>Bad</v>
      </c>
    </row>
    <row r="12" spans="2:7" x14ac:dyDescent="0.3">
      <c r="B12" s="43" t="s">
        <v>217</v>
      </c>
      <c r="C12" s="43">
        <v>79</v>
      </c>
      <c r="D12" s="44" t="str" cm="1">
        <f t="array" ref="D12">_xlfn.IFS(C12&gt;80,$G$5,AND(C12&lt;=79,C12&gt;=40),$G$6,C12&lt;40,$G$7)</f>
        <v>Good</v>
      </c>
    </row>
    <row r="13" spans="2:7" x14ac:dyDescent="0.3">
      <c r="B13" s="43" t="s">
        <v>218</v>
      </c>
      <c r="C13" s="43">
        <v>5</v>
      </c>
      <c r="D13" s="44" t="str" cm="1">
        <f t="array" ref="D13">_xlfn.IFS(C13&gt;80,$G$5,AND(C13&lt;=79,C13&gt;=40),$G$6,C13&lt;40,$G$7)</f>
        <v>Bad</v>
      </c>
    </row>
    <row r="14" spans="2:7" x14ac:dyDescent="0.3">
      <c r="B14" s="43" t="s">
        <v>219</v>
      </c>
      <c r="C14" s="43">
        <v>84</v>
      </c>
      <c r="D14" s="44" t="str" cm="1">
        <f t="array" ref="D14">_xlfn.IFS(C14&gt;80,$G$5,AND(C14&lt;=79,C14&gt;=40),$G$6,C14&lt;40,$G$7)</f>
        <v>Outstanding</v>
      </c>
    </row>
    <row r="15" spans="2:7" x14ac:dyDescent="0.3">
      <c r="B15" s="43" t="s">
        <v>220</v>
      </c>
      <c r="C15" s="43">
        <v>58</v>
      </c>
      <c r="D15" s="44" t="str" cm="1">
        <f t="array" ref="D15">_xlfn.IFS(C15&gt;80,$G$5,AND(C15&lt;=79,C15&gt;=40),$G$6,C15&lt;40,$G$7)</f>
        <v>Good</v>
      </c>
    </row>
    <row r="16" spans="2:7" x14ac:dyDescent="0.3">
      <c r="B16" s="43" t="s">
        <v>221</v>
      </c>
      <c r="C16" s="43">
        <v>86</v>
      </c>
      <c r="D16" s="44" t="str" cm="1">
        <f t="array" ref="D16">_xlfn.IFS(C16&gt;80,$G$5,AND(C16&lt;=79,C16&gt;=40),$G$6,C16&lt;40,$G$7)</f>
        <v>Outstanding</v>
      </c>
    </row>
    <row r="17" spans="2:4" x14ac:dyDescent="0.3">
      <c r="B17" s="43" t="s">
        <v>222</v>
      </c>
      <c r="C17" s="43">
        <v>44</v>
      </c>
      <c r="D17" s="44" t="str" cm="1">
        <f t="array" ref="D17">_xlfn.IFS(C17&gt;80,$G$5,AND(C17&lt;=79,C17&gt;=40),$G$6,C17&lt;40,$G$7)</f>
        <v>Good</v>
      </c>
    </row>
    <row r="18" spans="2:4" x14ac:dyDescent="0.3">
      <c r="B18" s="43" t="s">
        <v>223</v>
      </c>
      <c r="C18" s="43">
        <v>36</v>
      </c>
      <c r="D18" s="44" t="str" cm="1">
        <f t="array" ref="D18">_xlfn.IFS(C18&gt;80,$G$5,AND(C18&lt;=79,C18&gt;=40),$G$6,C18&lt;40,$G$7)</f>
        <v>Bad</v>
      </c>
    </row>
    <row r="19" spans="2:4" x14ac:dyDescent="0.3">
      <c r="B19" s="43" t="s">
        <v>224</v>
      </c>
      <c r="C19" s="43">
        <v>53</v>
      </c>
      <c r="D19" s="44" t="str" cm="1">
        <f t="array" ref="D19">_xlfn.IFS(C19&gt;80,$G$5,AND(C19&lt;=79,C19&gt;=40),$G$6,C19&lt;40,$G$7)</f>
        <v>Good</v>
      </c>
    </row>
    <row r="20" spans="2:4" x14ac:dyDescent="0.3">
      <c r="B20" s="43" t="s">
        <v>225</v>
      </c>
      <c r="C20" s="43">
        <v>29</v>
      </c>
      <c r="D20" s="44" t="str" cm="1">
        <f t="array" ref="D20">_xlfn.IFS(C20&gt;80,$G$5,AND(C20&lt;=79,C20&gt;=40),$G$6,C20&lt;40,$G$7)</f>
        <v>Bad</v>
      </c>
    </row>
    <row r="21" spans="2:4" x14ac:dyDescent="0.3">
      <c r="B21" s="43" t="s">
        <v>226</v>
      </c>
      <c r="C21" s="43">
        <v>22</v>
      </c>
      <c r="D21" s="44" t="str" cm="1">
        <f t="array" ref="D21">_xlfn.IFS(C21&gt;80,$G$5,AND(C21&lt;=79,C21&gt;=40),$G$6,C21&lt;40,$G$7)</f>
        <v>Bad</v>
      </c>
    </row>
    <row r="22" spans="2:4" x14ac:dyDescent="0.3">
      <c r="B22" s="43" t="s">
        <v>227</v>
      </c>
      <c r="C22" s="43">
        <v>44</v>
      </c>
      <c r="D22" s="44" t="str" cm="1">
        <f t="array" ref="D22">_xlfn.IFS(C22&gt;80,$G$5,AND(C22&lt;=79,C22&gt;=40),$G$6,C22&lt;40,$G$7)</f>
        <v>Good</v>
      </c>
    </row>
    <row r="23" spans="2:4" x14ac:dyDescent="0.3">
      <c r="B23" s="43" t="s">
        <v>228</v>
      </c>
      <c r="C23" s="43">
        <v>89</v>
      </c>
      <c r="D23" s="44" t="str" cm="1">
        <f t="array" ref="D23">_xlfn.IFS(C23&gt;80,$G$5,AND(C23&lt;=79,C23&gt;=40),$G$6,C23&lt;40,$G$7)</f>
        <v>Outstanding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5E5D4-82D4-4316-ACE4-E4D2DFE6B7C6}">
  <dimension ref="A1:C14"/>
  <sheetViews>
    <sheetView topLeftCell="A2" zoomScale="152" zoomScaleNormal="152" workbookViewId="0">
      <selection activeCell="C4" sqref="C4"/>
    </sheetView>
  </sheetViews>
  <sheetFormatPr defaultRowHeight="14.4" x14ac:dyDescent="0.3"/>
  <cols>
    <col min="1" max="1" width="63.44140625" bestFit="1" customWidth="1"/>
    <col min="2" max="2" width="48.109375" customWidth="1"/>
    <col min="3" max="3" width="23.21875" customWidth="1"/>
  </cols>
  <sheetData>
    <row r="1" spans="1:3" x14ac:dyDescent="0.3">
      <c r="A1" t="s">
        <v>41</v>
      </c>
      <c r="B1" t="s">
        <v>229</v>
      </c>
      <c r="C1" t="s">
        <v>230</v>
      </c>
    </row>
    <row r="2" spans="1:3" ht="28.8" x14ac:dyDescent="0.3">
      <c r="A2" s="16" t="s">
        <v>42</v>
      </c>
      <c r="B2" s="85" t="s">
        <v>247</v>
      </c>
      <c r="C2" t="str">
        <f>INDEX(B1:B3,1)</f>
        <v>Answers</v>
      </c>
    </row>
    <row r="3" spans="1:3" ht="28.8" x14ac:dyDescent="0.3">
      <c r="A3" s="16" t="s">
        <v>43</v>
      </c>
      <c r="B3" s="86" t="s">
        <v>248</v>
      </c>
      <c r="C3">
        <f>COUNTA(A2:A11)</f>
        <v>10</v>
      </c>
    </row>
    <row r="4" spans="1:3" x14ac:dyDescent="0.3">
      <c r="A4" s="16" t="s">
        <v>44</v>
      </c>
      <c r="B4" t="s">
        <v>249</v>
      </c>
      <c r="C4" t="str">
        <f>LEFT(B1)</f>
        <v>A</v>
      </c>
    </row>
    <row r="5" spans="1:3" x14ac:dyDescent="0.3">
      <c r="A5" s="16" t="s">
        <v>45</v>
      </c>
      <c r="B5" t="s">
        <v>250</v>
      </c>
    </row>
    <row r="6" spans="1:3" x14ac:dyDescent="0.3">
      <c r="A6" s="16" t="s">
        <v>46</v>
      </c>
      <c r="B6" t="s">
        <v>251</v>
      </c>
      <c r="C6" t="str">
        <f>CONCATENATE(C1,C2)</f>
        <v>ExampleAnswers</v>
      </c>
    </row>
    <row r="7" spans="1:3" ht="43.2" x14ac:dyDescent="0.3">
      <c r="A7" s="16" t="s">
        <v>47</v>
      </c>
      <c r="B7" s="87" t="s">
        <v>252</v>
      </c>
      <c r="C7" s="86" t="s">
        <v>253</v>
      </c>
    </row>
    <row r="8" spans="1:3" ht="28.8" x14ac:dyDescent="0.3">
      <c r="A8" s="16" t="s">
        <v>48</v>
      </c>
      <c r="B8" s="86" t="s">
        <v>255</v>
      </c>
    </row>
    <row r="9" spans="1:3" x14ac:dyDescent="0.3">
      <c r="A9" s="16" t="s">
        <v>49</v>
      </c>
      <c r="B9" t="s">
        <v>254</v>
      </c>
      <c r="C9" t="s">
        <v>256</v>
      </c>
    </row>
    <row r="10" spans="1:3" ht="43.2" x14ac:dyDescent="0.3">
      <c r="A10" s="16" t="s">
        <v>50</v>
      </c>
      <c r="B10" s="86" t="s">
        <v>257</v>
      </c>
    </row>
    <row r="11" spans="1:3" ht="43.2" x14ac:dyDescent="0.3">
      <c r="A11" s="16" t="s">
        <v>51</v>
      </c>
      <c r="B11" t="s">
        <v>258</v>
      </c>
      <c r="C11" s="86" t="s">
        <v>259</v>
      </c>
    </row>
    <row r="12" spans="1:3" x14ac:dyDescent="0.3">
      <c r="A12" s="16" t="s">
        <v>52</v>
      </c>
      <c r="B12" t="s">
        <v>261</v>
      </c>
      <c r="C12" t="s">
        <v>262</v>
      </c>
    </row>
    <row r="13" spans="1:3" ht="57.6" x14ac:dyDescent="0.3">
      <c r="A13" s="16" t="s">
        <v>53</v>
      </c>
      <c r="B13" s="86" t="s">
        <v>260</v>
      </c>
    </row>
    <row r="14" spans="1:3" ht="28.8" x14ac:dyDescent="0.3">
      <c r="A14" s="16" t="s">
        <v>54</v>
      </c>
      <c r="B14" s="86" t="s">
        <v>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SQL</vt:lpstr>
      <vt:lpstr>Sheet8</vt:lpstr>
      <vt:lpstr>Excel Q1</vt:lpstr>
      <vt:lpstr>Excel Q2</vt:lpstr>
      <vt:lpstr>Excel Q3</vt:lpstr>
      <vt:lpstr>Excel Q4</vt:lpstr>
      <vt:lpstr>Theory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2024</dc:creator>
  <cp:lastModifiedBy>Srilekha Guntuka</cp:lastModifiedBy>
  <dcterms:created xsi:type="dcterms:W3CDTF">2026-06-28T11:08:42Z</dcterms:created>
  <dcterms:modified xsi:type="dcterms:W3CDTF">2026-06-29T06:17:12Z</dcterms:modified>
</cp:coreProperties>
</file>